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UC-03d Beispiel" sheetId="2" state="visible" r:id="rId2"/>
    <sheet xmlns:r="http://schemas.openxmlformats.org/officeDocument/2006/relationships" name="Leeres Register" sheetId="3" state="visible" r:id="rId3"/>
    <sheet xmlns:r="http://schemas.openxmlformats.org/officeDocument/2006/relationships" name="A-B-E-Skala" sheetId="4" state="visible" r:id="rId4"/>
    <sheet xmlns:r="http://schemas.openxmlformats.org/officeDocument/2006/relationships" name="Listen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i val="1"/>
      <color rgb="FF595959"/>
      <sz val="11"/>
    </font>
    <font>
      <name val="Arial"/>
      <charset val="1"/>
      <b val="1"/>
      <color rgb="FF1F4E78"/>
      <sz val="12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808080"/>
      <sz val="9"/>
    </font>
    <font>
      <name val="Arial"/>
      <charset val="1"/>
      <b val="1"/>
      <color rgb="FF1F4E78"/>
      <sz val="14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Calibri"/>
      <i val="1"/>
      <color rgb="007A4A00"/>
      <sz val="10"/>
    </font>
  </fonts>
  <fills count="7">
    <fill>
      <patternFill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2" fillId="0" borderId="0" applyAlignment="1" pivotButton="0" quotePrefix="0" xfId="0">
      <alignment vertical="top" wrapText="1"/>
    </xf>
    <xf numFmtId="0" fontId="6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1" fillId="6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applyAlignment="1" pivotButton="0" quotePrefix="0" xfId="0">
      <alignment wrapText="1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min="1" max="1"/>
    <col width="100" customWidth="1" min="2" max="2"/>
  </cols>
  <sheetData>
    <row r="2" ht="22.8" customHeight="1">
      <c r="B2" s="7" t="inlineStr">
        <is>
          <t>Risikoregister-Vorlage · KI-Beauftragte:r</t>
        </is>
      </c>
    </row>
    <row r="3">
      <c r="B3" s="8" t="inlineStr">
        <is>
          <t>alfatraining · Tag 9–11 · Risikomanagement und Datenschutz</t>
        </is>
      </c>
    </row>
    <row r="5" ht="15.6" customHeight="1">
      <c r="B5" s="9" t="inlineStr">
        <is>
          <t>Was ist diese Vorlage?</t>
        </is>
      </c>
    </row>
    <row r="6" ht="49.5" customHeight="1">
      <c r="B6" s="10" t="inlineStr">
        <is>
          <t>Dies ist eine Arbeitsvorlage zur strukturierten Erfassung von KI-Risiken — angelehnt an die VOREST-FMEA-Vorlage und konsistent mit den Inhalten der Kurstage 9 (Risikoarten, A-B-E-Bewertung), 10 (Risikomatrix, Maßnahmen, KI-Agenten) und 11 (Datenschutz, DSFA-Bedarfsprüfung).</t>
        </is>
      </c>
    </row>
    <row r="8" ht="15.6" customHeight="1">
      <c r="B8" s="9" t="inlineStr">
        <is>
          <t>Aufbau der Datei</t>
        </is>
      </c>
    </row>
    <row r="9">
      <c r="B9" s="11" t="inlineStr">
        <is>
          <t>• Tab 'Anleitung'</t>
        </is>
      </c>
    </row>
    <row r="10" ht="31.5" customHeight="1">
      <c r="B10" s="10" t="inlineStr">
        <is>
          <t xml:space="preserve">   Dieses Tab — Erklärung von Aufbau und Verwendung.</t>
        </is>
      </c>
    </row>
    <row r="11">
      <c r="B11" s="11" t="inlineStr">
        <is>
          <t>• Tab 'UC-03d Beispiel'</t>
        </is>
      </c>
    </row>
    <row r="12" ht="31.5" customHeight="1">
      <c r="B12" s="10" t="inlineStr">
        <is>
          <t xml:space="preserve">   Drei vollständig ausgearbeitete Beispiel-Risiken aus dem Use Case Diagnose-KI Krankenhaus St. Ulrich. Dient als Vorbild für die Eigenbefüllung.</t>
        </is>
      </c>
    </row>
    <row r="13">
      <c r="B13" s="30" t="inlineStr">
        <is>
          <t xml:space="preserve">   ⚠ Vollständigkeit: Das Beispiel zeigt nur 3 Risiken — zur Illustration der Methodik. Ein vollständiges Erst-Register sollte 15–20 Risiken umfassen: pro Risikoart mindestens 3–5 (vgl. Hand-Out Tag 9 Block 3, Erstbefüllung-Logik).</t>
        </is>
      </c>
    </row>
    <row r="14" ht="31.5" customHeight="1">
      <c r="B14" s="11" t="inlineStr">
        <is>
          <t>• Tab 'Leeres Register'</t>
        </is>
      </c>
    </row>
    <row r="15">
      <c r="B15" s="10" t="inlineStr">
        <is>
          <t xml:space="preserve">   Vorlage zum Selbstausfüllen — gleiche Struktur wie das Beispiel-Tab.</t>
        </is>
      </c>
    </row>
    <row r="16" ht="31.5" customHeight="1">
      <c r="B16" s="11" t="inlineStr">
        <is>
          <t>• Tab 'A-B-E-Skala'</t>
        </is>
      </c>
    </row>
    <row r="17">
      <c r="B17" s="10" t="inlineStr">
        <is>
          <t xml:space="preserve">   Bewertungsskala 1–10 für Auftreten, Bedeutung, Entdeckung. KI-spezifisch formuliert (übernommen aus VOREST-FMEA-Vorlage).</t>
        </is>
      </c>
    </row>
    <row r="18" ht="31.5" customHeight="1">
      <c r="B18" s="11" t="inlineStr">
        <is>
          <t>• Tab 'Listen'</t>
        </is>
      </c>
    </row>
    <row r="19">
      <c r="B19" s="10" t="inlineStr">
        <is>
          <t xml:space="preserve">   Hilfssheet mit den Dropdown-Werten für Risikoart, Risikokategorie, Lebenszyklus-Phase. Nicht direkt bearbeiten.</t>
        </is>
      </c>
    </row>
    <row r="20" ht="15.6" customHeight="1"/>
    <row r="21">
      <c r="B21" s="9" t="inlineStr">
        <is>
          <t>Begriffsklärung — zwei Klassifizierungs-Ebenen</t>
        </is>
      </c>
    </row>
    <row r="22" ht="45" customHeight="1">
      <c r="B22" s="11" t="inlineStr">
        <is>
          <t>• Risikoart</t>
        </is>
      </c>
    </row>
    <row r="23">
      <c r="B23" s="10" t="inlineStr">
        <is>
          <t xml:space="preserve">   Übergeordnete Klasse — vier Werte aus Tag 9 Block 2: Bias, Technische Fehler, Ethische Risiken, Sicherheitsrisiken. (Die Original-VOREST-Vorlage nennt diese Spalte 'Risikodimension' — wir bleiben bei 'Risikoart' wie im Hand-Out.)</t>
        </is>
      </c>
    </row>
    <row r="24" ht="45" customHeight="1">
      <c r="B24" s="11" t="inlineStr">
        <is>
          <t>• Risikokategorie</t>
        </is>
      </c>
    </row>
    <row r="25">
      <c r="B25" s="10" t="inlineStr">
        <is>
          <t xml:space="preserve">   Detail-Ebene innerhalb einer Risikoart. Beispiele: Modell-Drift, Out-of-Distribution, Automation Bias, Supply Chain. Frei beschreibbar oder aus Dropdown wählbar.</t>
        </is>
      </c>
    </row>
    <row r="26" ht="45" customHeight="1">
      <c r="B26" s="11" t="inlineStr">
        <is>
          <t>• A-B-E</t>
        </is>
      </c>
    </row>
    <row r="27">
      <c r="B27" s="10" t="inlineStr">
        <is>
          <t xml:space="preserve">   Auftreten · Bedeutung · Entdeckung. Bewertung jeweils auf 10-stufiger Skala (siehe Tab 'A-B-E-Skala').</t>
        </is>
      </c>
    </row>
    <row r="28" ht="45" customHeight="1">
      <c r="B28" s="11" t="inlineStr">
        <is>
          <t>• RPZ</t>
        </is>
      </c>
    </row>
    <row r="29">
      <c r="B29" s="10" t="inlineStr">
        <is>
          <t xml:space="preserve">   Risiko-Prioritäts-Zahl = A × B × E. Wertebereich 1–1000. Faustregel: &gt; 125 = Maßnahmen erforderlich.</t>
        </is>
      </c>
    </row>
    <row r="30" ht="45" customHeight="1">
      <c r="B30" s="11" t="inlineStr">
        <is>
          <t>• Vor / Nach</t>
        </is>
      </c>
    </row>
    <row r="31">
      <c r="B31" s="10" t="inlineStr">
        <is>
          <t xml:space="preserve">   Bewertung vor und nach der geplanten Maßnahme — zeigt die Wirksamkeit.</t>
        </is>
      </c>
    </row>
    <row r="32" ht="15.6" customHeight="1"/>
    <row r="33" ht="18" customHeight="1">
      <c r="B33" s="9" t="inlineStr">
        <is>
          <t>So gehst du vor</t>
        </is>
      </c>
    </row>
    <row r="34" ht="18" customHeight="1">
      <c r="B34" s="10" t="inlineStr">
        <is>
          <t>1. Tab 'UC-03d Beispiel' anschauen — wie sind die drei Risiken strukturiert? Welche Logik?</t>
        </is>
      </c>
    </row>
    <row r="35" ht="18" customHeight="1">
      <c r="B35" s="10" t="inlineStr">
        <is>
          <t>2. Tab 'A-B-E-Skala' griffbereit halten — sie ist die Referenz für jede Bewertung.</t>
        </is>
      </c>
    </row>
    <row r="36" ht="18" customHeight="1">
      <c r="B36" s="10" t="inlineStr">
        <is>
          <t>3. Tab 'Leeres Register' öffnen, Use Case eintragen, pro Risiko eine Zeile.</t>
        </is>
      </c>
    </row>
    <row r="37" ht="18" customHeight="1">
      <c r="B37" s="10" t="inlineStr">
        <is>
          <t>4. Erst alle Risiken identifizieren (Spalte F: 'Beschreibung'), dann bewerten — nicht im Trio, sondern A, B, E unabhängig.</t>
        </is>
      </c>
    </row>
    <row r="38" ht="18" customHeight="1">
      <c r="B38" s="10" t="inlineStr">
        <is>
          <t>5. Maßnahmen ergänzen (drei Kontroll-Typen: Detective, Preventive, Corrective).</t>
        </is>
      </c>
    </row>
    <row r="39" ht="18" customHeight="1">
      <c r="B39" s="10" t="inlineStr">
        <is>
          <t>6. Bewertung 'nach Maßnahme' realistisch einschätzen — nicht zu optimistisch.</t>
        </is>
      </c>
    </row>
    <row r="40">
      <c r="B40" s="10" t="inlineStr">
        <is>
          <t>7. Mit dem DSB die Schnittstelle zur DSFA klären (vgl. Tag 11).</t>
        </is>
      </c>
    </row>
    <row r="41"/>
    <row r="42" ht="39.75" customHeight="1"/>
    <row r="43">
      <c r="B43" s="12" t="inlineStr">
        <is>
          <t>Hinweis: Diese Vorlage wurde im Excel-Format erstellt und funktioniert in Microsoft Excel, Google Sheets (per Upload) und LibreOffice Calc. Datenvalidierungs-Listen werden in Google Sheets ggf. erst nach erstmaligem Speichern aktiv.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"/>
  <sheetViews>
    <sheetView showGridLines="0" tabSelected="1" zoomScaleNormal="100" workbookViewId="0">
      <selection activeCell="C7" sqref="C7"/>
    </sheetView>
  </sheetViews>
  <sheetFormatPr baseColWidth="8" defaultColWidth="8.6640625" defaultRowHeight="14.4"/>
  <cols>
    <col width="5" customWidth="1" min="1" max="1"/>
    <col width="18" customWidth="1" min="2" max="2"/>
    <col width="22" customWidth="1" min="3" max="3"/>
    <col width="18" customWidth="1" min="4" max="4"/>
    <col width="16" customWidth="1" min="5" max="5"/>
    <col width="35" customWidth="1" min="6" max="6"/>
    <col width="30" customWidth="1" min="7" max="7"/>
    <col width="35" customWidth="1" min="8" max="8"/>
    <col width="18" customWidth="1" min="9" max="9"/>
    <col width="8" customWidth="1" min="10" max="13"/>
    <col width="30" customWidth="1" min="14" max="14"/>
    <col width="28" customWidth="1" min="15" max="17"/>
    <col width="8" customWidth="1" min="18" max="21"/>
    <col width="28" customWidth="1" min="22" max="22"/>
    <col width="14" customWidth="1" min="23" max="23"/>
    <col width="18" customWidth="1" min="24" max="24"/>
    <col width="20" customWidth="1" min="25" max="25"/>
  </cols>
  <sheetData>
    <row r="1" ht="17.4" customHeight="1">
      <c r="A1" s="6" t="inlineStr">
        <is>
          <t>Aufgabenbereich C: Risikoregister</t>
        </is>
      </c>
    </row>
    <row r="3">
      <c r="A3" s="11" t="inlineStr">
        <is>
          <t>Use Case:</t>
        </is>
      </c>
      <c r="B3" s="13" t="inlineStr">
        <is>
          <t>UC-03d — Diagnose-KI Krankenhaus St. Ulrich</t>
        </is>
      </c>
      <c r="I3" s="11" t="inlineStr">
        <is>
          <t>Bearbeitet durch:</t>
        </is>
      </c>
      <c r="J3" s="13" t="inlineStr">
        <is>
          <t>Marco Brandt (KI-Beauftragter)</t>
        </is>
      </c>
      <c r="O3" s="11" t="inlineStr">
        <is>
          <t>Datum:</t>
        </is>
      </c>
      <c r="P3" s="13" t="inlineStr">
        <is>
          <t>Pilotphase, Mai 2026</t>
        </is>
      </c>
    </row>
    <row r="5" ht="15" customHeight="1">
      <c r="A5" s="14" t="inlineStr">
        <is>
          <t>Strukturierung</t>
        </is>
      </c>
      <c r="B5" s="28" t="n"/>
      <c r="C5" s="28" t="n"/>
      <c r="D5" s="28" t="n"/>
      <c r="E5" s="29" t="n"/>
      <c r="F5" s="14" t="inlineStr">
        <is>
          <t>Risikoidentifikation &amp; -beschreibung</t>
        </is>
      </c>
      <c r="G5" s="28" t="n"/>
      <c r="H5" s="28" t="n"/>
      <c r="I5" s="29" t="n"/>
      <c r="J5" s="14" t="inlineStr">
        <is>
          <t>Risikobewertung (vor Maßnahmen)</t>
        </is>
      </c>
      <c r="K5" s="28" t="n"/>
      <c r="L5" s="28" t="n"/>
      <c r="M5" s="28" t="n"/>
      <c r="N5" s="29" t="n"/>
      <c r="O5" s="14" t="inlineStr">
        <is>
          <t>Maßnahmen (drei Kontroll-Typen)</t>
        </is>
      </c>
      <c r="P5" s="28" t="n"/>
      <c r="Q5" s="29" t="n"/>
      <c r="R5" s="14" t="inlineStr">
        <is>
          <t>Wirksamkeitsprognose (nach Maßnahmen)</t>
        </is>
      </c>
      <c r="S5" s="28" t="n"/>
      <c r="T5" s="28" t="n"/>
      <c r="U5" s="28" t="n"/>
      <c r="V5" s="29" t="n"/>
      <c r="W5" s="14" t="inlineStr">
        <is>
          <t>Übergabe DSB</t>
        </is>
      </c>
      <c r="X5" s="14" t="inlineStr">
        <is>
          <t>Nachverfolgung</t>
        </is>
      </c>
    </row>
    <row r="6" ht="49.5" customHeight="1">
      <c r="A6" s="15" t="inlineStr">
        <is>
          <t>ID</t>
        </is>
      </c>
      <c r="B6" s="15" t="inlineStr">
        <is>
          <t>Risikoart</t>
        </is>
      </c>
      <c r="C6" s="15" t="inlineStr">
        <is>
          <t>Risikokategorie</t>
        </is>
      </c>
      <c r="D6" s="15" t="inlineStr">
        <is>
          <t>Lebenszyklus-Phase</t>
        </is>
      </c>
      <c r="E6" s="15" t="inlineStr">
        <is>
          <t>Stakeholder</t>
        </is>
      </c>
      <c r="F6" s="15" t="inlineStr">
        <is>
          <t>Risikobeschreibung</t>
        </is>
      </c>
      <c r="G6" s="15" t="inlineStr">
        <is>
          <t>Ursache</t>
        </is>
      </c>
      <c r="H6" s="15" t="inlineStr">
        <is>
          <t>Auswirkung</t>
        </is>
      </c>
      <c r="I6" s="15" t="inlineStr">
        <is>
          <t>Owner</t>
        </is>
      </c>
      <c r="J6" s="15" t="inlineStr">
        <is>
          <t>A · Auftreten (1–10)</t>
        </is>
      </c>
      <c r="K6" s="15" t="inlineStr">
        <is>
          <t>B · Bedeutung (1–10)</t>
        </is>
      </c>
      <c r="L6" s="15" t="inlineStr">
        <is>
          <t>E · Entdeckung (1–10)</t>
        </is>
      </c>
      <c r="M6" s="15" t="inlineStr">
        <is>
          <t>RPZ vor</t>
        </is>
      </c>
      <c r="N6" s="15" t="inlineStr">
        <is>
          <t>Begründung der Bewertung</t>
        </is>
      </c>
      <c r="O6" s="15" t="inlineStr">
        <is>
          <t>Preventive (vor)</t>
        </is>
      </c>
      <c r="P6" s="15" t="inlineStr">
        <is>
          <t>Detective (beim)</t>
        </is>
      </c>
      <c r="Q6" s="15" t="inlineStr">
        <is>
          <t>Corrective (nach)</t>
        </is>
      </c>
      <c r="R6" s="15" t="inlineStr">
        <is>
          <t>A · Auftreten (n)</t>
        </is>
      </c>
      <c r="S6" s="15" t="inlineStr">
        <is>
          <t>B · Bedeutung (n)</t>
        </is>
      </c>
      <c r="T6" s="15" t="inlineStr">
        <is>
          <t>E · Entdeckung (n)</t>
        </is>
      </c>
      <c r="U6" s="15" t="inlineStr">
        <is>
          <t>RPZ nach</t>
        </is>
      </c>
      <c r="V6" s="15" t="inlineStr">
        <is>
          <t>Restrisiko-Akzeptanz (Geschäftsführung)</t>
        </is>
      </c>
      <c r="W6" s="15" t="inlineStr">
        <is>
          <t>DSFA-Bedarf?</t>
        </is>
      </c>
      <c r="X6" s="15" t="inlineStr">
        <is>
          <t>Status</t>
        </is>
      </c>
      <c r="Y6" s="15" t="inlineStr">
        <is>
          <t>Nächste Überprüfung</t>
        </is>
      </c>
    </row>
    <row r="7" ht="94.5" customHeight="1">
      <c r="A7" s="16" t="n">
        <v>1</v>
      </c>
      <c r="B7" s="17" t="inlineStr">
        <is>
          <t>Bias</t>
        </is>
      </c>
      <c r="C7" s="17" t="inlineStr">
        <is>
          <t>Daten-Bias (Doom-Loop)</t>
        </is>
      </c>
      <c r="D7" s="17" t="inlineStr">
        <is>
          <t>Datenaufbereitung / Training</t>
        </is>
      </c>
      <c r="E7" s="17" t="inlineStr">
        <is>
          <t>Patienten · Klinik · GKV</t>
        </is>
      </c>
      <c r="F7" s="17" t="inlineStr">
        <is>
          <t>Doom-Loop-Bias der Trainingsdaten — Modell wurde 2020–2024 trainiert; "Normal" entspricht überlasteten Klinikbetrieben</t>
        </is>
      </c>
      <c r="G7" s="17" t="inlineStr">
        <is>
          <t>Trainingsdaten spiegeln pandemiebedingt verzerrte Versorgungsrealität wider; KI-VO Art. 10 Verstoß möglich</t>
        </is>
      </c>
      <c r="H7" s="17" t="inlineStr">
        <is>
          <t>Modell unterscheidet nicht zwischen "Krise als Normal" und echter klinischer Auffälligkeit; systematische Fehlbefunde besonders bei seltenen Erkrankungen</t>
        </is>
      </c>
      <c r="I7" s="17" t="inlineStr">
        <is>
          <t>Ärztl. Direktor + KIB</t>
        </is>
      </c>
      <c r="J7" s="16" t="n">
        <v>6</v>
      </c>
      <c r="K7" s="16" t="n">
        <v>8</v>
      </c>
      <c r="L7" s="16" t="n">
        <v>7</v>
      </c>
      <c r="M7" s="16">
        <f>IF(COUNTA(J7:L7)=3,J7*K7*L7,"")</f>
        <v/>
      </c>
      <c r="N7" s="17" t="inlineStr">
        <is>
          <t>B hoch wegen Patientenrelevanz; A mittel weil im Routinebetrieb beobachtbar; E hoch da ohne strukturierten Vergleich nicht erkennbar</t>
        </is>
      </c>
      <c r="O7" s="17" t="inlineStr">
        <is>
          <t>Anbieter-Anforderung: Trainingsdaten-Dokumentation (Zeitfenster, Demografie); Voll-Roll-Out nur nach Re-Validierung</t>
        </is>
      </c>
      <c r="P7" s="17" t="inlineStr">
        <is>
          <t>Quartalsweiser Performance-Vergleich neuer vs. älterer Patientengruppen; Drift-Indikator-Dashboard</t>
        </is>
      </c>
      <c r="Q7" s="17" t="inlineStr">
        <is>
          <t>Bei nachgewiesenem Bias: Re-Training mit ausgeglichenen Daten oder Aussetzen für betroffene Gruppen</t>
        </is>
      </c>
      <c r="R7" s="16" t="n">
        <v>3</v>
      </c>
      <c r="S7" s="16" t="n">
        <v>8</v>
      </c>
      <c r="T7" s="16" t="n">
        <v>4</v>
      </c>
      <c r="U7" s="16">
        <f>IF(COUNTA(R7:T7)=3,R7*S7*T7,"")</f>
        <v/>
      </c>
      <c r="V7" s="17" t="inlineStr">
        <is>
          <t>Akzeptanz nach Implementierung der Maßnahmen — Geschäftsführung dokumentiert; jährliches Review</t>
        </is>
      </c>
      <c r="W7" s="16" t="inlineStr">
        <is>
          <t>Ja</t>
        </is>
      </c>
      <c r="X7" s="13" t="inlineStr">
        <is>
          <t>Offen</t>
        </is>
      </c>
      <c r="Y7" s="13" t="inlineStr">
        <is>
          <t>2026-08-01</t>
        </is>
      </c>
    </row>
    <row r="8" ht="94.5" customHeight="1">
      <c r="A8" s="16" t="n">
        <v>2</v>
      </c>
      <c r="B8" s="17" t="inlineStr">
        <is>
          <t>Ethische Risiken</t>
        </is>
      </c>
      <c r="C8" s="17" t="inlineStr">
        <is>
          <t>Automation Bias</t>
        </is>
      </c>
      <c r="D8" s="17" t="inlineStr">
        <is>
          <t>Pilotierung / Deployment</t>
        </is>
      </c>
      <c r="E8" s="17" t="inlineStr">
        <is>
          <t>Patienten · Radiologen · Klinik</t>
        </is>
      </c>
      <c r="F8" s="17" t="inlineStr">
        <is>
          <t>Automation Bias bei Radiologen — KI-Befunde werden mit zunehmender Trefferquote weniger kritisch geprüft</t>
        </is>
      </c>
      <c r="G8" s="17" t="inlineStr">
        <is>
          <t>Hohe wahrgenommene Konfidenz der KI; Zeitdruck im Klinikalltag; fehlende Schulung zum Phänomen Automation Bias</t>
        </is>
      </c>
      <c r="H8" s="17" t="inlineStr">
        <is>
          <t>Verlust klinischer Eigenleistung der Radiologen; Fehldiagnosen mit Patientenfolgen; Berufsidentitäts-Erosion (vgl. Gooch 2026)</t>
        </is>
      </c>
      <c r="I8" s="17" t="inlineStr">
        <is>
          <t>Ärztl. Direktor + Chefarzt Radiologie</t>
        </is>
      </c>
      <c r="J8" s="16" t="n">
        <v>7</v>
      </c>
      <c r="K8" s="16" t="n">
        <v>8</v>
      </c>
      <c r="L8" s="16" t="n">
        <v>8</v>
      </c>
      <c r="M8" s="16">
        <f>IF(COUNTA(J8:L8)=3,J8*K8*L8,"")</f>
        <v/>
      </c>
      <c r="N8" s="17" t="inlineStr">
        <is>
          <t>B hoch (Patientenfolgen); A hoch in Pilotphase beobachtet; E sehr hoch da Radiologe selbst nicht hinguckt</t>
        </is>
      </c>
      <c r="O8" s="17" t="inlineStr">
        <is>
          <t>Verpflichtende Doppelbefundung bei Hochrisiko-Befunden; Schulung Automation Bias bei Einarbeitung</t>
        </is>
      </c>
      <c r="P8" s="17" t="inlineStr">
        <is>
          <t>Stichproben-Audit: Wie oft weicht Radiologe von KI-Empfehlung ab? Wenn nie: Indikator</t>
        </is>
      </c>
      <c r="Q8" s="17" t="inlineStr">
        <is>
          <t>Bei systematischem Automation Bias: Eskalation an Ärztl. Direktor, Workflow ändern, Schulung wiederholen</t>
        </is>
      </c>
      <c r="R8" s="16" t="n">
        <v>4</v>
      </c>
      <c r="S8" s="16" t="n">
        <v>8</v>
      </c>
      <c r="T8" s="16" t="n">
        <v>4</v>
      </c>
      <c r="U8" s="16">
        <f>IF(COUNTA(R8:T8)=3,R8*S8*T8,"")</f>
        <v/>
      </c>
      <c r="V8" s="17" t="inlineStr">
        <is>
          <t>Restrisiko nach Maßnahmen mittelhoch — kontinuierliche Beobachtung Pflicht</t>
        </is>
      </c>
      <c r="W8" s="16" t="inlineStr">
        <is>
          <t>Ja</t>
        </is>
      </c>
      <c r="X8" s="13" t="inlineStr">
        <is>
          <t>In Bearbeitung</t>
        </is>
      </c>
      <c r="Y8" s="13" t="inlineStr">
        <is>
          <t>2026-07-01</t>
        </is>
      </c>
    </row>
    <row r="9" ht="94.5" customHeight="1">
      <c r="A9" s="16" t="n">
        <v>3</v>
      </c>
      <c r="B9" s="17" t="inlineStr">
        <is>
          <t>Sicherheitsrisiken</t>
        </is>
      </c>
      <c r="C9" s="17" t="inlineStr">
        <is>
          <t>Supply Chain · Drittstaaten</t>
        </is>
      </c>
      <c r="D9" s="17" t="inlineStr">
        <is>
          <t>Betrieb &amp; Überwachung</t>
        </is>
      </c>
      <c r="E9" s="17" t="inlineStr">
        <is>
          <t>Patienten · DSB · IT-Sicherheit</t>
        </is>
      </c>
      <c r="F9" s="17" t="inlineStr">
        <is>
          <t>Indien-Schnittstelle: Anbindung an externe Datenbank (10 Mio. CTs) ohne EU-Angemessenheitsbeschluss</t>
        </is>
      </c>
      <c r="G9" s="17" t="inlineStr">
        <is>
          <t>Anbieter bietet Indien-Daten als "Anonymisiert" an; Re-Identifikation über medizinische Bilddaten möglich; indische Behörden mit weitreichenden Zugriffsrechten</t>
        </is>
      </c>
      <c r="H9" s="17" t="inlineStr">
        <is>
          <t>DSGVO-Verstoß bei Aktivierung; Schadensersatz; Reputations-Schaden; mögliches BfArM-Verfahren</t>
        </is>
      </c>
      <c r="I9" s="17" t="inlineStr">
        <is>
          <t>DSB + KIB + IT-Sicherheit</t>
        </is>
      </c>
      <c r="J9" s="16" t="n">
        <v>4</v>
      </c>
      <c r="K9" s="16" t="n">
        <v>9</v>
      </c>
      <c r="L9" s="16" t="n">
        <v>5</v>
      </c>
      <c r="M9" s="16">
        <f>IF(COUNTA(J9:L9)=3,J9*K9*L9,"")</f>
        <v/>
      </c>
      <c r="N9" s="17" t="inlineStr">
        <is>
          <t>A nur bei Aktivierung; B sehr hoch (rechtlich + medizinisch); E mittel weil Audit-fähig aber nicht real-time</t>
        </is>
      </c>
      <c r="O9" s="17" t="inlineStr">
        <is>
          <t>Transfer Impact Assessment vor Aktivierung; SCC + technische EU-Daten-Residenz prüfen</t>
        </is>
      </c>
      <c r="P9" s="17" t="inlineStr">
        <is>
          <t>Audit-Logs aller Indien-Anfragen; Monitoring Datenfluss in/out</t>
        </is>
      </c>
      <c r="Q9" s="17" t="inlineStr">
        <is>
          <t>Sofortiges Sperren des Indien-Zugriffs bei Vorfall; Notfall-Kommunikation an Aufsichtsbehörden</t>
        </is>
      </c>
      <c r="R9" s="16" t="n">
        <v>1</v>
      </c>
      <c r="S9" s="16" t="n">
        <v>9</v>
      </c>
      <c r="T9" s="16" t="n">
        <v>3</v>
      </c>
      <c r="U9" s="16">
        <f>IF(COUNTA(R9:T9)=3,R9*S9*T9,"")</f>
        <v/>
      </c>
      <c r="V9" s="17" t="inlineStr">
        <is>
          <t>Geschäftsführung entscheidet vor Aktivierung — bei nicht-akzeptablem Restrisiko: Aktivierung verschieben</t>
        </is>
      </c>
      <c r="W9" s="16" t="inlineStr">
        <is>
          <t>Ja</t>
        </is>
      </c>
      <c r="X9" s="13" t="inlineStr">
        <is>
          <t>Offen</t>
        </is>
      </c>
      <c r="Y9" s="13" t="inlineStr">
        <is>
          <t>2026-06-01</t>
        </is>
      </c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6" t="n"/>
      <c r="K10" s="16" t="n"/>
      <c r="L10" s="16" t="n"/>
      <c r="M10" s="16">
        <f>IF(COUNTA(J10:L10)=3,J10*K10*L10,"")</f>
        <v/>
      </c>
      <c r="N10" s="17" t="n"/>
      <c r="O10" s="17" t="n"/>
      <c r="P10" s="17" t="n"/>
      <c r="Q10" s="17" t="n"/>
      <c r="R10" s="16" t="n"/>
      <c r="S10" s="16" t="n"/>
      <c r="T10" s="16" t="n"/>
      <c r="U10" s="16">
        <f>IF(COUNTA(R10:T10)=3,R10*S10*T10,"")</f>
        <v/>
      </c>
      <c r="V10" s="17" t="n"/>
      <c r="W10" s="16" t="n"/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6" t="n"/>
      <c r="K11" s="16" t="n"/>
      <c r="L11" s="16" t="n"/>
      <c r="M11" s="16">
        <f>IF(COUNTA(J11:L11)=3,J11*K11*L11,"")</f>
        <v/>
      </c>
      <c r="N11" s="17" t="n"/>
      <c r="O11" s="17" t="n"/>
      <c r="P11" s="17" t="n"/>
      <c r="Q11" s="17" t="n"/>
      <c r="R11" s="16" t="n"/>
      <c r="S11" s="16" t="n"/>
      <c r="T11" s="16" t="n"/>
      <c r="U11" s="16">
        <f>IF(COUNTA(R11:T11)=3,R11*S11*T11,"")</f>
        <v/>
      </c>
      <c r="V11" s="17" t="n"/>
      <c r="W11" s="16" t="n"/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6" t="n"/>
      <c r="K12" s="16" t="n"/>
      <c r="L12" s="16" t="n"/>
      <c r="M12" s="16">
        <f>IF(COUNTA(J12:L12)=3,J12*K12*L12,"")</f>
        <v/>
      </c>
      <c r="N12" s="17" t="n"/>
      <c r="O12" s="17" t="n"/>
      <c r="P12" s="17" t="n"/>
      <c r="Q12" s="17" t="n"/>
      <c r="R12" s="16" t="n"/>
      <c r="S12" s="16" t="n"/>
      <c r="T12" s="16" t="n"/>
      <c r="U12" s="16">
        <f>IF(COUNTA(R12:T12)=3,R12*S12*T12,"")</f>
        <v/>
      </c>
      <c r="V12" s="17" t="n"/>
      <c r="W12" s="16" t="n"/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6" t="n"/>
      <c r="K13" s="16" t="n"/>
      <c r="L13" s="16" t="n"/>
      <c r="M13" s="16">
        <f>IF(COUNTA(J13:L13)=3,J13*K13*L13,"")</f>
        <v/>
      </c>
      <c r="N13" s="17" t="n"/>
      <c r="O13" s="17" t="n"/>
      <c r="P13" s="17" t="n"/>
      <c r="Q13" s="17" t="n"/>
      <c r="R13" s="16" t="n"/>
      <c r="S13" s="16" t="n"/>
      <c r="T13" s="16" t="n"/>
      <c r="U13" s="16">
        <f>IF(COUNTA(R13:T13)=3,R13*S13*T13,"")</f>
        <v/>
      </c>
      <c r="V13" s="17" t="n"/>
      <c r="W13" s="16" t="n"/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6" t="n"/>
      <c r="K14" s="16" t="n"/>
      <c r="L14" s="16" t="n"/>
      <c r="M14" s="16">
        <f>IF(COUNTA(J14:L14)=3,J14*K14*L14,"")</f>
        <v/>
      </c>
      <c r="N14" s="17" t="n"/>
      <c r="O14" s="17" t="n"/>
      <c r="P14" s="17" t="n"/>
      <c r="Q14" s="17" t="n"/>
      <c r="R14" s="16" t="n"/>
      <c r="S14" s="16" t="n"/>
      <c r="T14" s="16" t="n"/>
      <c r="U14" s="16">
        <f>IF(COUNTA(R14:T14)=3,R14*S14*T14,"")</f>
        <v/>
      </c>
      <c r="V14" s="17" t="n"/>
      <c r="W14" s="16" t="n"/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6" t="n"/>
      <c r="K15" s="16" t="n"/>
      <c r="L15" s="16" t="n"/>
      <c r="M15" s="16">
        <f>IF(COUNTA(J15:L15)=3,J15*K15*L15,"")</f>
        <v/>
      </c>
      <c r="N15" s="17" t="n"/>
      <c r="O15" s="17" t="n"/>
      <c r="P15" s="17" t="n"/>
      <c r="Q15" s="17" t="n"/>
      <c r="R15" s="16" t="n"/>
      <c r="S15" s="16" t="n"/>
      <c r="T15" s="16" t="n"/>
      <c r="U15" s="16">
        <f>IF(COUNTA(R15:T15)=3,R15*S15*T15,"")</f>
        <v/>
      </c>
      <c r="V15" s="17" t="n"/>
      <c r="W15" s="16" t="n"/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6" t="n"/>
      <c r="K16" s="16" t="n"/>
      <c r="L16" s="16" t="n"/>
      <c r="M16" s="16">
        <f>IF(COUNTA(J16:L16)=3,J16*K16*L16,"")</f>
        <v/>
      </c>
      <c r="N16" s="17" t="n"/>
      <c r="O16" s="17" t="n"/>
      <c r="P16" s="17" t="n"/>
      <c r="Q16" s="17" t="n"/>
      <c r="R16" s="16" t="n"/>
      <c r="S16" s="16" t="n"/>
      <c r="T16" s="16" t="n"/>
      <c r="U16" s="16">
        <f>IF(COUNTA(R16:T16)=3,R16*S16*T16,"")</f>
        <v/>
      </c>
      <c r="V16" s="17" t="n"/>
      <c r="W16" s="16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6" t="n"/>
      <c r="K17" s="16" t="n"/>
      <c r="L17" s="16" t="n"/>
      <c r="M17" s="16">
        <f>IF(COUNTA(J17:L17)=3,J17*K17*L17,"")</f>
        <v/>
      </c>
      <c r="N17" s="17" t="n"/>
      <c r="O17" s="17" t="n"/>
      <c r="P17" s="17" t="n"/>
      <c r="Q17" s="17" t="n"/>
      <c r="R17" s="16" t="n"/>
      <c r="S17" s="16" t="n"/>
      <c r="T17" s="16" t="n"/>
      <c r="U17" s="16">
        <f>IF(COUNTA(R17:T17)=3,R17*S17*T17,"")</f>
        <v/>
      </c>
      <c r="V17" s="17" t="n"/>
      <c r="W17" s="16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6" t="n"/>
      <c r="K18" s="16" t="n"/>
      <c r="L18" s="16" t="n"/>
      <c r="M18" s="16">
        <f>IF(COUNTA(J18:L18)=3,J18*K18*L18,"")</f>
        <v/>
      </c>
      <c r="N18" s="17" t="n"/>
      <c r="O18" s="17" t="n"/>
      <c r="P18" s="17" t="n"/>
      <c r="Q18" s="17" t="n"/>
      <c r="R18" s="16" t="n"/>
      <c r="S18" s="16" t="n"/>
      <c r="T18" s="16" t="n"/>
      <c r="U18" s="16">
        <f>IF(COUNTA(R18:T18)=3,R18*S18*T18,"")</f>
        <v/>
      </c>
      <c r="V18" s="17" t="n"/>
      <c r="W18" s="16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6" t="n"/>
      <c r="K19" s="16" t="n"/>
      <c r="L19" s="16" t="n"/>
      <c r="M19" s="16">
        <f>IF(COUNTA(J19:L19)=3,J19*K19*L19,"")</f>
        <v/>
      </c>
      <c r="N19" s="17" t="n"/>
      <c r="O19" s="17" t="n"/>
      <c r="P19" s="17" t="n"/>
      <c r="Q19" s="17" t="n"/>
      <c r="R19" s="16" t="n"/>
      <c r="S19" s="16" t="n"/>
      <c r="T19" s="16" t="n"/>
      <c r="U19" s="16">
        <f>IF(COUNTA(R19:T19)=3,R19*S19*T19,"")</f>
        <v/>
      </c>
      <c r="V19" s="17" t="n"/>
      <c r="W19" s="16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6" t="n"/>
      <c r="K20" s="16" t="n"/>
      <c r="L20" s="16" t="n"/>
      <c r="M20" s="16">
        <f>IF(COUNTA(J20:L20)=3,J20*K20*L20,"")</f>
        <v/>
      </c>
      <c r="N20" s="17" t="n"/>
      <c r="O20" s="17" t="n"/>
      <c r="P20" s="17" t="n"/>
      <c r="Q20" s="17" t="n"/>
      <c r="R20" s="16" t="n"/>
      <c r="S20" s="16" t="n"/>
      <c r="T20" s="16" t="n"/>
      <c r="U20" s="16">
        <f>IF(COUNTA(R20:T20)=3,R20*S20*T20,"")</f>
        <v/>
      </c>
      <c r="V20" s="17" t="n"/>
      <c r="W20" s="16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6" t="n"/>
      <c r="K21" s="16" t="n"/>
      <c r="L21" s="16" t="n"/>
      <c r="M21" s="16">
        <f>IF(COUNTA(J21:L21)=3,J21*K21*L21,"")</f>
        <v/>
      </c>
      <c r="N21" s="17" t="n"/>
      <c r="O21" s="17" t="n"/>
      <c r="P21" s="17" t="n"/>
      <c r="Q21" s="17" t="n"/>
      <c r="R21" s="16" t="n"/>
      <c r="S21" s="16" t="n"/>
      <c r="T21" s="16" t="n"/>
      <c r="U21" s="16">
        <f>IF(COUNTA(R21:T21)=3,R21*S21*T21,"")</f>
        <v/>
      </c>
      <c r="V21" s="17" t="n"/>
      <c r="W21" s="16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6" t="n"/>
      <c r="K22" s="16" t="n"/>
      <c r="L22" s="16" t="n"/>
      <c r="M22" s="16">
        <f>IF(COUNTA(J22:L22)=3,J22*K22*L22,"")</f>
        <v/>
      </c>
      <c r="N22" s="17" t="n"/>
      <c r="O22" s="17" t="n"/>
      <c r="P22" s="17" t="n"/>
      <c r="Q22" s="17" t="n"/>
      <c r="R22" s="16" t="n"/>
      <c r="S22" s="16" t="n"/>
      <c r="T22" s="16" t="n"/>
      <c r="U22" s="16">
        <f>IF(COUNTA(R22:T22)=3,R22*S22*T22,"")</f>
        <v/>
      </c>
      <c r="V22" s="17" t="n"/>
      <c r="W22" s="16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6" t="n"/>
      <c r="K23" s="16" t="n"/>
      <c r="L23" s="16" t="n"/>
      <c r="M23" s="16">
        <f>IF(COUNTA(J23:L23)=3,J23*K23*L23,"")</f>
        <v/>
      </c>
      <c r="N23" s="17" t="n"/>
      <c r="O23" s="17" t="n"/>
      <c r="P23" s="17" t="n"/>
      <c r="Q23" s="17" t="n"/>
      <c r="R23" s="16" t="n"/>
      <c r="S23" s="16" t="n"/>
      <c r="T23" s="16" t="n"/>
      <c r="U23" s="16">
        <f>IF(COUNTA(R23:T23)=3,R23*S23*T23,"")</f>
        <v/>
      </c>
      <c r="V23" s="17" t="n"/>
      <c r="W23" s="16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6" t="n"/>
      <c r="K24" s="16" t="n"/>
      <c r="L24" s="16" t="n"/>
      <c r="M24" s="16">
        <f>IF(COUNTA(J24:L24)=3,J24*K24*L24,"")</f>
        <v/>
      </c>
      <c r="N24" s="17" t="n"/>
      <c r="O24" s="17" t="n"/>
      <c r="P24" s="17" t="n"/>
      <c r="Q24" s="17" t="n"/>
      <c r="R24" s="16" t="n"/>
      <c r="S24" s="16" t="n"/>
      <c r="T24" s="16" t="n"/>
      <c r="U24" s="16">
        <f>IF(COUNTA(R24:T24)=3,R24*S24*T24,"")</f>
        <v/>
      </c>
      <c r="V24" s="17" t="n"/>
      <c r="W24" s="16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6" t="n"/>
      <c r="K25" s="16" t="n"/>
      <c r="L25" s="16" t="n"/>
      <c r="M25" s="16">
        <f>IF(COUNTA(J25:L25)=3,J25*K25*L25,"")</f>
        <v/>
      </c>
      <c r="N25" s="17" t="n"/>
      <c r="O25" s="17" t="n"/>
      <c r="P25" s="17" t="n"/>
      <c r="Q25" s="17" t="n"/>
      <c r="R25" s="16" t="n"/>
      <c r="S25" s="16" t="n"/>
      <c r="T25" s="16" t="n"/>
      <c r="U25" s="16">
        <f>IF(COUNTA(R25:T25)=3,R25*S25*T25,"")</f>
        <v/>
      </c>
      <c r="V25" s="17" t="n"/>
      <c r="W25" s="16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6" t="n"/>
      <c r="K26" s="16" t="n"/>
      <c r="L26" s="16" t="n"/>
      <c r="M26" s="16">
        <f>IF(COUNTA(J26:L26)=3,J26*K26*L26,"")</f>
        <v/>
      </c>
      <c r="N26" s="17" t="n"/>
      <c r="O26" s="17" t="n"/>
      <c r="P26" s="17" t="n"/>
      <c r="Q26" s="17" t="n"/>
      <c r="R26" s="16" t="n"/>
      <c r="S26" s="16" t="n"/>
      <c r="T26" s="16" t="n"/>
      <c r="U26" s="16">
        <f>IF(COUNTA(R26:T26)=3,R26*S26*T26,"")</f>
        <v/>
      </c>
      <c r="V26" s="17" t="n"/>
      <c r="W26" s="16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6" t="n"/>
      <c r="K27" s="16" t="n"/>
      <c r="L27" s="16" t="n"/>
      <c r="M27" s="16">
        <f>IF(COUNTA(J27:L27)=3,J27*K27*L27,"")</f>
        <v/>
      </c>
      <c r="N27" s="17" t="n"/>
      <c r="O27" s="17" t="n"/>
      <c r="P27" s="17" t="n"/>
      <c r="Q27" s="17" t="n"/>
      <c r="R27" s="16" t="n"/>
      <c r="S27" s="16" t="n"/>
      <c r="T27" s="16" t="n"/>
      <c r="U27" s="16">
        <f>IF(COUNTA(R27:T27)=3,R27*S27*T27,"")</f>
        <v/>
      </c>
      <c r="V27" s="17" t="n"/>
      <c r="W27" s="16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6" t="n"/>
      <c r="K28" s="16" t="n"/>
      <c r="L28" s="16" t="n"/>
      <c r="M28" s="16">
        <f>IF(COUNTA(J28:L28)=3,J28*K28*L28,"")</f>
        <v/>
      </c>
      <c r="N28" s="17" t="n"/>
      <c r="O28" s="17" t="n"/>
      <c r="P28" s="17" t="n"/>
      <c r="Q28" s="17" t="n"/>
      <c r="R28" s="16" t="n"/>
      <c r="S28" s="16" t="n"/>
      <c r="T28" s="16" t="n"/>
      <c r="U28" s="16">
        <f>IF(COUNTA(R28:T28)=3,R28*S28*T28,"")</f>
        <v/>
      </c>
      <c r="V28" s="17" t="n"/>
      <c r="W28" s="16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6" t="n"/>
      <c r="K29" s="16" t="n"/>
      <c r="L29" s="16" t="n"/>
      <c r="M29" s="16">
        <f>IF(COUNTA(J29:L29)=3,J29*K29*L29,"")</f>
        <v/>
      </c>
      <c r="N29" s="17" t="n"/>
      <c r="O29" s="17" t="n"/>
      <c r="P29" s="17" t="n"/>
      <c r="Q29" s="17" t="n"/>
      <c r="R29" s="16" t="n"/>
      <c r="S29" s="16" t="n"/>
      <c r="T29" s="16" t="n"/>
      <c r="U29" s="16">
        <f>IF(COUNTA(R29:T29)=3,R29*S29*T29,"")</f>
        <v/>
      </c>
      <c r="V29" s="17" t="n"/>
      <c r="W29" s="16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6" t="n"/>
      <c r="K30" s="16" t="n"/>
      <c r="L30" s="16" t="n"/>
      <c r="M30" s="16">
        <f>IF(COUNTA(J30:L30)=3,J30*K30*L30,"")</f>
        <v/>
      </c>
      <c r="N30" s="17" t="n"/>
      <c r="O30" s="17" t="n"/>
      <c r="P30" s="17" t="n"/>
      <c r="Q30" s="17" t="n"/>
      <c r="R30" s="16" t="n"/>
      <c r="S30" s="16" t="n"/>
      <c r="T30" s="16" t="n"/>
      <c r="U30" s="16">
        <f>IF(COUNTA(R30:T30)=3,R30*S30*T30,"")</f>
        <v/>
      </c>
      <c r="V30" s="17" t="n"/>
      <c r="W30" s="16" t="n"/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6" t="n"/>
      <c r="K31" s="16" t="n"/>
      <c r="L31" s="16" t="n"/>
      <c r="M31" s="16">
        <f>IF(COUNTA(J31:L31)=3,J31*K31*L31,"")</f>
        <v/>
      </c>
      <c r="N31" s="17" t="n"/>
      <c r="O31" s="17" t="n"/>
      <c r="P31" s="17" t="n"/>
      <c r="Q31" s="17" t="n"/>
      <c r="R31" s="16" t="n"/>
      <c r="S31" s="16" t="n"/>
      <c r="T31" s="16" t="n"/>
      <c r="U31" s="16">
        <f>IF(COUNTA(R31:T31)=3,R31*S31*T31,"")</f>
        <v/>
      </c>
      <c r="V31" s="17" t="n"/>
      <c r="W31" s="16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6" t="n"/>
      <c r="K32" s="16" t="n"/>
      <c r="L32" s="16" t="n"/>
      <c r="M32" s="16">
        <f>IF(COUNTA(J32:L32)=3,J32*K32*L32,"")</f>
        <v/>
      </c>
      <c r="N32" s="17" t="n"/>
      <c r="O32" s="17" t="n"/>
      <c r="P32" s="17" t="n"/>
      <c r="Q32" s="17" t="n"/>
      <c r="R32" s="16" t="n"/>
      <c r="S32" s="16" t="n"/>
      <c r="T32" s="16" t="n"/>
      <c r="U32" s="16">
        <f>IF(COUNTA(R32:T32)=3,R32*S32*T32,"")</f>
        <v/>
      </c>
      <c r="V32" s="17" t="n"/>
      <c r="W32" s="16" t="n"/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6" t="n"/>
      <c r="K33" s="16" t="n"/>
      <c r="L33" s="16" t="n"/>
      <c r="M33" s="16">
        <f>IF(COUNTA(J33:L33)=3,J33*K33*L33,"")</f>
        <v/>
      </c>
      <c r="N33" s="17" t="n"/>
      <c r="O33" s="17" t="n"/>
      <c r="P33" s="17" t="n"/>
      <c r="Q33" s="17" t="n"/>
      <c r="R33" s="16" t="n"/>
      <c r="S33" s="16" t="n"/>
      <c r="T33" s="16" t="n"/>
      <c r="U33" s="16">
        <f>IF(COUNTA(R33:T33)=3,R33*S33*T33,"")</f>
        <v/>
      </c>
      <c r="V33" s="17" t="n"/>
      <c r="W33" s="16" t="n"/>
    </row>
    <row r="34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6" t="n"/>
      <c r="K34" s="16" t="n"/>
      <c r="L34" s="16" t="n"/>
      <c r="M34" s="16">
        <f>IF(COUNTA(J34:L34)=3,J34*K34*L34,"")</f>
        <v/>
      </c>
      <c r="N34" s="17" t="n"/>
      <c r="O34" s="17" t="n"/>
      <c r="P34" s="17" t="n"/>
      <c r="Q34" s="17" t="n"/>
      <c r="R34" s="16" t="n"/>
      <c r="S34" s="16" t="n"/>
      <c r="T34" s="16" t="n"/>
      <c r="U34" s="16">
        <f>IF(COUNTA(R34:T34)=3,R34*S34*T34,"")</f>
        <v/>
      </c>
      <c r="V34" s="17" t="n"/>
      <c r="W34" s="16" t="n"/>
    </row>
    <row r="35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6" t="n"/>
      <c r="K35" s="16" t="n"/>
      <c r="L35" s="16" t="n"/>
      <c r="M35" s="16">
        <f>IF(COUNTA(J35:L35)=3,J35*K35*L35,"")</f>
        <v/>
      </c>
      <c r="N35" s="17" t="n"/>
      <c r="O35" s="17" t="n"/>
      <c r="P35" s="17" t="n"/>
      <c r="Q35" s="17" t="n"/>
      <c r="R35" s="16" t="n"/>
      <c r="S35" s="16" t="n"/>
      <c r="T35" s="16" t="n"/>
      <c r="U35" s="16">
        <f>IF(COUNTA(R35:T35)=3,R35*S35*T35,"")</f>
        <v/>
      </c>
      <c r="V35" s="17" t="n"/>
      <c r="W35" s="16" t="n"/>
    </row>
    <row r="36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6" t="n"/>
      <c r="K36" s="16" t="n"/>
      <c r="L36" s="16" t="n"/>
      <c r="M36" s="16">
        <f>IF(COUNTA(J36:L36)=3,J36*K36*L36,"")</f>
        <v/>
      </c>
      <c r="N36" s="17" t="n"/>
      <c r="O36" s="17" t="n"/>
      <c r="P36" s="17" t="n"/>
      <c r="Q36" s="17" t="n"/>
      <c r="R36" s="16" t="n"/>
      <c r="S36" s="16" t="n"/>
      <c r="T36" s="16" t="n"/>
      <c r="U36" s="16">
        <f>IF(COUNTA(R36:T36)=3,R36*S36*T36,"")</f>
        <v/>
      </c>
      <c r="V36" s="17" t="n"/>
      <c r="W36" s="16" t="n"/>
    </row>
    <row r="37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6" t="n"/>
      <c r="K37" s="16" t="n"/>
      <c r="L37" s="16" t="n"/>
      <c r="M37" s="16">
        <f>IF(COUNTA(J37:L37)=3,J37*K37*L37,"")</f>
        <v/>
      </c>
      <c r="N37" s="17" t="n"/>
      <c r="O37" s="17" t="n"/>
      <c r="P37" s="17" t="n"/>
      <c r="Q37" s="17" t="n"/>
      <c r="R37" s="16" t="n"/>
      <c r="S37" s="16" t="n"/>
      <c r="T37" s="16" t="n"/>
      <c r="U37" s="16">
        <f>IF(COUNTA(R37:T37)=3,R37*S37*T37,"")</f>
        <v/>
      </c>
      <c r="V37" s="17" t="n"/>
      <c r="W37" s="16" t="n"/>
    </row>
    <row r="38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6" t="n"/>
      <c r="K38" s="16" t="n"/>
      <c r="L38" s="16" t="n"/>
      <c r="M38" s="16">
        <f>IF(COUNTA(J38:L38)=3,J38*K38*L38,"")</f>
        <v/>
      </c>
      <c r="N38" s="17" t="n"/>
      <c r="O38" s="17" t="n"/>
      <c r="P38" s="17" t="n"/>
      <c r="Q38" s="17" t="n"/>
      <c r="R38" s="16" t="n"/>
      <c r="S38" s="16" t="n"/>
      <c r="T38" s="16" t="n"/>
      <c r="U38" s="16">
        <f>IF(COUNTA(R38:T38)=3,R38*S38*T38,"")</f>
        <v/>
      </c>
      <c r="V38" s="17" t="n"/>
      <c r="W38" s="16" t="n"/>
    </row>
    <row r="39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6" t="n"/>
      <c r="K39" s="16" t="n"/>
      <c r="L39" s="16" t="n"/>
      <c r="M39" s="16">
        <f>IF(COUNTA(J39:L39)=3,J39*K39*L39,"")</f>
        <v/>
      </c>
      <c r="N39" s="17" t="n"/>
      <c r="O39" s="17" t="n"/>
      <c r="P39" s="17" t="n"/>
      <c r="Q39" s="17" t="n"/>
      <c r="R39" s="16" t="n"/>
      <c r="S39" s="16" t="n"/>
      <c r="T39" s="16" t="n"/>
      <c r="U39" s="16">
        <f>IF(COUNTA(R39:T39)=3,R39*S39*T39,"")</f>
        <v/>
      </c>
      <c r="V39" s="17" t="n"/>
      <c r="W39" s="16" t="n"/>
    </row>
    <row r="40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6" t="n"/>
      <c r="K40" s="16" t="n"/>
      <c r="L40" s="16" t="n"/>
      <c r="M40" s="16">
        <f>IF(COUNTA(J40:L40)=3,J40*K40*L40,"")</f>
        <v/>
      </c>
      <c r="N40" s="17" t="n"/>
      <c r="O40" s="17" t="n"/>
      <c r="P40" s="17" t="n"/>
      <c r="Q40" s="17" t="n"/>
      <c r="R40" s="16" t="n"/>
      <c r="S40" s="16" t="n"/>
      <c r="T40" s="16" t="n"/>
      <c r="U40" s="16">
        <f>IF(COUNTA(R40:T40)=3,R40*S40*T40,"")</f>
        <v/>
      </c>
      <c r="V40" s="17" t="n"/>
      <c r="W40" s="16" t="n"/>
    </row>
    <row r="42">
      <c r="A42" s="18" t="inlineStr">
        <is>
          <t>Legende RPZ:</t>
        </is>
      </c>
      <c r="B42" s="19" t="inlineStr">
        <is>
          <t>&lt; 50</t>
        </is>
      </c>
      <c r="C42" s="20" t="inlineStr">
        <is>
          <t>niedrig</t>
        </is>
      </c>
      <c r="D42" s="21" t="inlineStr">
        <is>
          <t>50–125</t>
        </is>
      </c>
      <c r="E42" s="20" t="inlineStr">
        <is>
          <t>mittel — Maßnahmen prüfen</t>
        </is>
      </c>
      <c r="G42" s="22" t="inlineStr">
        <is>
          <t>&gt; 125</t>
        </is>
      </c>
      <c r="H42" s="20" t="inlineStr">
        <is>
          <t>hoch — Maßnahmen erforderlich</t>
        </is>
      </c>
    </row>
    <row r="43">
      <c r="A43" s="23" t="inlineStr">
        <is>
          <t>Hinweis: Bei B = 9–10 (existenzielle Schäden) immer Maßnahmen prüfen, auch bei niedriger RPZ. Vgl. Tag 9 Block 3.</t>
        </is>
      </c>
    </row>
  </sheetData>
  <mergeCells count="11">
    <mergeCell ref="O5:Q5"/>
    <mergeCell ref="A1:W1"/>
    <mergeCell ref="J3:N3"/>
    <mergeCell ref="J5:N5"/>
    <mergeCell ref="P3:S3"/>
    <mergeCell ref="E42:F42"/>
    <mergeCell ref="A5:E5"/>
    <mergeCell ref="A43:J43"/>
    <mergeCell ref="F5:I5"/>
    <mergeCell ref="B3:H3"/>
    <mergeCell ref="R5:V5"/>
  </mergeCells>
  <conditionalFormatting sqref="M7:M40">
    <cfRule type="cellIs" priority="2" operator="lessThan" dxfId="2">
      <formula>50</formula>
    </cfRule>
    <cfRule type="cellIs" priority="3" operator="between" dxfId="1">
      <formula>50</formula>
      <formula>125</formula>
    </cfRule>
    <cfRule type="cellIs" priority="4" operator="greaterThan" dxfId="0">
      <formula>125</formula>
    </cfRule>
  </conditionalFormatting>
  <conditionalFormatting sqref="U7:U40">
    <cfRule type="cellIs" priority="5" operator="lessThan" dxfId="2">
      <formula>50</formula>
    </cfRule>
    <cfRule type="cellIs" priority="6" operator="between" dxfId="1">
      <formula>50</formula>
      <formula>125</formula>
    </cfRule>
    <cfRule type="cellIs" priority="7" operator="greaterThan" dxfId="0">
      <formula>125</formula>
    </cfRule>
  </conditionalFormatting>
  <dataValidations count="2">
    <dataValidation sqref="J7:L40 R7:T40" showDropDown="0" showInputMessage="0" showErrorMessage="0" allowBlank="1" errorTitle="Ungültige Bewertung" error="Bitte ganze Zahl 1–10 eingeben (siehe Tab A-B-E-Skala)." type="whole">
      <formula1>1</formula1>
      <formula2>10</formula2>
    </dataValidation>
    <dataValidation sqref="W7:W40" showDropDown="0" showInputMessage="0" showErrorMessage="0" allowBlank="1" type="list">
      <formula1>"Ja,Nein,Teilweise,Prüfung läuft"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showGridLines="0" zoomScaleNormal="100" workbookViewId="0">
      <selection activeCell="A1" sqref="A1:W1"/>
    </sheetView>
  </sheetViews>
  <sheetFormatPr baseColWidth="8" defaultColWidth="8.6640625" defaultRowHeight="14.4"/>
  <cols>
    <col width="5" customWidth="1" min="1" max="1"/>
    <col width="18" customWidth="1" min="2" max="2"/>
    <col width="22" customWidth="1" min="3" max="3"/>
    <col width="18" customWidth="1" min="4" max="4"/>
    <col width="16" customWidth="1" min="5" max="5"/>
    <col width="35" customWidth="1" min="6" max="6"/>
    <col width="30" customWidth="1" min="7" max="7"/>
    <col width="35" customWidth="1" min="8" max="8"/>
    <col width="18" customWidth="1" min="9" max="9"/>
    <col width="8" customWidth="1" min="10" max="13"/>
    <col width="30" customWidth="1" min="14" max="14"/>
    <col width="28" customWidth="1" min="15" max="17"/>
    <col width="8" customWidth="1" min="18" max="21"/>
    <col width="28" customWidth="1" min="22" max="22"/>
    <col width="14" customWidth="1" min="23" max="23"/>
    <col width="18" customWidth="1" min="24" max="24"/>
    <col width="20" customWidth="1" min="25" max="25"/>
  </cols>
  <sheetData>
    <row r="1" ht="17.4" customHeight="1">
      <c r="A1" s="6" t="inlineStr">
        <is>
          <t>Aufgabenbereich C: Risikoregister</t>
        </is>
      </c>
    </row>
    <row r="3">
      <c r="A3" s="11" t="inlineStr">
        <is>
          <t>Use Case:</t>
        </is>
      </c>
      <c r="B3" s="13" t="n"/>
      <c r="I3" s="11" t="inlineStr">
        <is>
          <t>Bearbeitet durch:</t>
        </is>
      </c>
      <c r="J3" s="13" t="n"/>
      <c r="O3" s="11" t="inlineStr">
        <is>
          <t>Datum:</t>
        </is>
      </c>
      <c r="P3" s="13" t="n"/>
    </row>
    <row r="5" ht="15" customHeight="1">
      <c r="A5" s="14" t="inlineStr">
        <is>
          <t>Strukturierung</t>
        </is>
      </c>
      <c r="B5" s="28" t="n"/>
      <c r="C5" s="28" t="n"/>
      <c r="D5" s="28" t="n"/>
      <c r="E5" s="29" t="n"/>
      <c r="F5" s="14" t="inlineStr">
        <is>
          <t>Risikoidentifikation &amp; -beschreibung</t>
        </is>
      </c>
      <c r="G5" s="28" t="n"/>
      <c r="H5" s="28" t="n"/>
      <c r="I5" s="29" t="n"/>
      <c r="J5" s="14" t="inlineStr">
        <is>
          <t>Risikobewertung (vor Maßnahmen)</t>
        </is>
      </c>
      <c r="K5" s="28" t="n"/>
      <c r="L5" s="28" t="n"/>
      <c r="M5" s="28" t="n"/>
      <c r="N5" s="29" t="n"/>
      <c r="O5" s="14" t="inlineStr">
        <is>
          <t>Maßnahmen (drei Kontroll-Typen)</t>
        </is>
      </c>
      <c r="P5" s="28" t="n"/>
      <c r="Q5" s="29" t="n"/>
      <c r="R5" s="14" t="inlineStr">
        <is>
          <t>Wirksamkeitsprognose (nach Maßnahmen)</t>
        </is>
      </c>
      <c r="S5" s="28" t="n"/>
      <c r="T5" s="28" t="n"/>
      <c r="U5" s="28" t="n"/>
      <c r="V5" s="29" t="n"/>
      <c r="W5" s="14" t="inlineStr">
        <is>
          <t>Übergabe DSB</t>
        </is>
      </c>
      <c r="X5" s="14" t="inlineStr">
        <is>
          <t>Nachverfolgung</t>
        </is>
      </c>
    </row>
    <row r="6" ht="49.5" customHeight="1">
      <c r="A6" s="15" t="inlineStr">
        <is>
          <t>ID</t>
        </is>
      </c>
      <c r="B6" s="15" t="inlineStr">
        <is>
          <t>Risikoart</t>
        </is>
      </c>
      <c r="C6" s="15" t="inlineStr">
        <is>
          <t>Risikokategorie</t>
        </is>
      </c>
      <c r="D6" s="15" t="inlineStr">
        <is>
          <t>Lebenszyklus-Phase</t>
        </is>
      </c>
      <c r="E6" s="15" t="inlineStr">
        <is>
          <t>Stakeholder</t>
        </is>
      </c>
      <c r="F6" s="15" t="inlineStr">
        <is>
          <t>Risikobeschreibung</t>
        </is>
      </c>
      <c r="G6" s="15" t="inlineStr">
        <is>
          <t>Ursache</t>
        </is>
      </c>
      <c r="H6" s="15" t="inlineStr">
        <is>
          <t>Auswirkung</t>
        </is>
      </c>
      <c r="I6" s="15" t="inlineStr">
        <is>
          <t>Owner</t>
        </is>
      </c>
      <c r="J6" s="15" t="inlineStr">
        <is>
          <t>A · Auftreten (1–10)</t>
        </is>
      </c>
      <c r="K6" s="15" t="inlineStr">
        <is>
          <t>B · Bedeutung (1–10)</t>
        </is>
      </c>
      <c r="L6" s="15" t="inlineStr">
        <is>
          <t>E · Entdeckung (1–10)</t>
        </is>
      </c>
      <c r="M6" s="15" t="inlineStr">
        <is>
          <t>RPZ vor</t>
        </is>
      </c>
      <c r="N6" s="15" t="inlineStr">
        <is>
          <t>Begründung der Bewertung</t>
        </is>
      </c>
      <c r="O6" s="15" t="inlineStr">
        <is>
          <t>Preventive (vor)</t>
        </is>
      </c>
      <c r="P6" s="15" t="inlineStr">
        <is>
          <t>Detective (beim)</t>
        </is>
      </c>
      <c r="Q6" s="15" t="inlineStr">
        <is>
          <t>Corrective (nach)</t>
        </is>
      </c>
      <c r="R6" s="15" t="inlineStr">
        <is>
          <t>A · Auftreten (n)</t>
        </is>
      </c>
      <c r="S6" s="15" t="inlineStr">
        <is>
          <t>B · Bedeutung (n)</t>
        </is>
      </c>
      <c r="T6" s="15" t="inlineStr">
        <is>
          <t>E · Entdeckung (n)</t>
        </is>
      </c>
      <c r="U6" s="15" t="inlineStr">
        <is>
          <t>RPZ nach</t>
        </is>
      </c>
      <c r="V6" s="15" t="inlineStr">
        <is>
          <t>Restrisiko-Akzeptanz (Geschäftsführung)</t>
        </is>
      </c>
      <c r="W6" s="15" t="inlineStr">
        <is>
          <t>DSFA-Bedarf?</t>
        </is>
      </c>
      <c r="X6" s="15" t="inlineStr">
        <is>
          <t>Status</t>
        </is>
      </c>
      <c r="Y6" s="15" t="inlineStr">
        <is>
          <t>Nächste Überprüfung</t>
        </is>
      </c>
    </row>
    <row r="7" ht="60" customHeight="1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6" t="n"/>
      <c r="K7" s="16" t="n"/>
      <c r="L7" s="16" t="n"/>
      <c r="M7" s="16">
        <f>IF(COUNTA(J7:L7)=3,J7*K7*L7,"")</f>
        <v/>
      </c>
      <c r="N7" s="17" t="n"/>
      <c r="O7" s="17" t="n"/>
      <c r="P7" s="17" t="n"/>
      <c r="Q7" s="17" t="n"/>
      <c r="R7" s="16" t="n"/>
      <c r="S7" s="16" t="n"/>
      <c r="T7" s="16" t="n"/>
      <c r="U7" s="16">
        <f>IF(COUNTA(R7:T7)=3,R7*S7*T7,"")</f>
        <v/>
      </c>
      <c r="V7" s="17" t="n"/>
      <c r="W7" s="16" t="n"/>
    </row>
    <row r="8" ht="60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6" t="n"/>
      <c r="K8" s="16" t="n"/>
      <c r="L8" s="16" t="n"/>
      <c r="M8" s="16">
        <f>IF(COUNTA(J8:L8)=3,J8*K8*L8,"")</f>
        <v/>
      </c>
      <c r="N8" s="17" t="n"/>
      <c r="O8" s="17" t="n"/>
      <c r="P8" s="17" t="n"/>
      <c r="Q8" s="17" t="n"/>
      <c r="R8" s="16" t="n"/>
      <c r="S8" s="16" t="n"/>
      <c r="T8" s="16" t="n"/>
      <c r="U8" s="16">
        <f>IF(COUNTA(R8:T8)=3,R8*S8*T8,"")</f>
        <v/>
      </c>
      <c r="V8" s="17" t="n"/>
      <c r="W8" s="16" t="n"/>
    </row>
    <row r="9" ht="60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6" t="n"/>
      <c r="K9" s="16" t="n"/>
      <c r="L9" s="16" t="n"/>
      <c r="M9" s="16">
        <f>IF(COUNTA(J9:L9)=3,J9*K9*L9,"")</f>
        <v/>
      </c>
      <c r="N9" s="17" t="n"/>
      <c r="O9" s="17" t="n"/>
      <c r="P9" s="17" t="n"/>
      <c r="Q9" s="17" t="n"/>
      <c r="R9" s="16" t="n"/>
      <c r="S9" s="16" t="n"/>
      <c r="T9" s="16" t="n"/>
      <c r="U9" s="16">
        <f>IF(COUNTA(R9:T9)=3,R9*S9*T9,"")</f>
        <v/>
      </c>
      <c r="V9" s="17" t="n"/>
      <c r="W9" s="16" t="n"/>
    </row>
    <row r="10" ht="60" customHeight="1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6" t="n"/>
      <c r="K10" s="16" t="n"/>
      <c r="L10" s="16" t="n"/>
      <c r="M10" s="16">
        <f>IF(COUNTA(J10:L10)=3,J10*K10*L10,"")</f>
        <v/>
      </c>
      <c r="N10" s="17" t="n"/>
      <c r="O10" s="17" t="n"/>
      <c r="P10" s="17" t="n"/>
      <c r="Q10" s="17" t="n"/>
      <c r="R10" s="16" t="n"/>
      <c r="S10" s="16" t="n"/>
      <c r="T10" s="16" t="n"/>
      <c r="U10" s="16">
        <f>IF(COUNTA(R10:T10)=3,R10*S10*T10,"")</f>
        <v/>
      </c>
      <c r="V10" s="17" t="n"/>
      <c r="W10" s="16" t="n"/>
    </row>
    <row r="11" ht="60" customHeight="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6" t="n"/>
      <c r="K11" s="16" t="n"/>
      <c r="L11" s="16" t="n"/>
      <c r="M11" s="16">
        <f>IF(COUNTA(J11:L11)=3,J11*K11*L11,"")</f>
        <v/>
      </c>
      <c r="N11" s="17" t="n"/>
      <c r="O11" s="17" t="n"/>
      <c r="P11" s="17" t="n"/>
      <c r="Q11" s="17" t="n"/>
      <c r="R11" s="16" t="n"/>
      <c r="S11" s="16" t="n"/>
      <c r="T11" s="16" t="n"/>
      <c r="U11" s="16">
        <f>IF(COUNTA(R11:T11)=3,R11*S11*T11,"")</f>
        <v/>
      </c>
      <c r="V11" s="17" t="n"/>
      <c r="W11" s="16" t="n"/>
    </row>
    <row r="12" ht="60" customHeight="1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6" t="n"/>
      <c r="K12" s="16" t="n"/>
      <c r="L12" s="16" t="n"/>
      <c r="M12" s="16">
        <f>IF(COUNTA(J12:L12)=3,J12*K12*L12,"")</f>
        <v/>
      </c>
      <c r="N12" s="17" t="n"/>
      <c r="O12" s="17" t="n"/>
      <c r="P12" s="17" t="n"/>
      <c r="Q12" s="17" t="n"/>
      <c r="R12" s="16" t="n"/>
      <c r="S12" s="16" t="n"/>
      <c r="T12" s="16" t="n"/>
      <c r="U12" s="16">
        <f>IF(COUNTA(R12:T12)=3,R12*S12*T12,"")</f>
        <v/>
      </c>
      <c r="V12" s="17" t="n"/>
      <c r="W12" s="16" t="n"/>
    </row>
    <row r="13" ht="60" customHeight="1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6" t="n"/>
      <c r="K13" s="16" t="n"/>
      <c r="L13" s="16" t="n"/>
      <c r="M13" s="16">
        <f>IF(COUNTA(J13:L13)=3,J13*K13*L13,"")</f>
        <v/>
      </c>
      <c r="N13" s="17" t="n"/>
      <c r="O13" s="17" t="n"/>
      <c r="P13" s="17" t="n"/>
      <c r="Q13" s="17" t="n"/>
      <c r="R13" s="16" t="n"/>
      <c r="S13" s="16" t="n"/>
      <c r="T13" s="16" t="n"/>
      <c r="U13" s="16">
        <f>IF(COUNTA(R13:T13)=3,R13*S13*T13,"")</f>
        <v/>
      </c>
      <c r="V13" s="17" t="n"/>
      <c r="W13" s="16" t="n"/>
    </row>
    <row r="14" ht="60" customHeight="1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6" t="n"/>
      <c r="K14" s="16" t="n"/>
      <c r="L14" s="16" t="n"/>
      <c r="M14" s="16">
        <f>IF(COUNTA(J14:L14)=3,J14*K14*L14,"")</f>
        <v/>
      </c>
      <c r="N14" s="17" t="n"/>
      <c r="O14" s="17" t="n"/>
      <c r="P14" s="17" t="n"/>
      <c r="Q14" s="17" t="n"/>
      <c r="R14" s="16" t="n"/>
      <c r="S14" s="16" t="n"/>
      <c r="T14" s="16" t="n"/>
      <c r="U14" s="16">
        <f>IF(COUNTA(R14:T14)=3,R14*S14*T14,"")</f>
        <v/>
      </c>
      <c r="V14" s="17" t="n"/>
      <c r="W14" s="16" t="n"/>
    </row>
    <row r="15" ht="60" customHeight="1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6" t="n"/>
      <c r="K15" s="16" t="n"/>
      <c r="L15" s="16" t="n"/>
      <c r="M15" s="16">
        <f>IF(COUNTA(J15:L15)=3,J15*K15*L15,"")</f>
        <v/>
      </c>
      <c r="N15" s="17" t="n"/>
      <c r="O15" s="17" t="n"/>
      <c r="P15" s="17" t="n"/>
      <c r="Q15" s="17" t="n"/>
      <c r="R15" s="16" t="n"/>
      <c r="S15" s="16" t="n"/>
      <c r="T15" s="16" t="n"/>
      <c r="U15" s="16">
        <f>IF(COUNTA(R15:T15)=3,R15*S15*T15,"")</f>
        <v/>
      </c>
      <c r="V15" s="17" t="n"/>
      <c r="W15" s="16" t="n"/>
    </row>
    <row r="16" ht="60" customHeight="1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6" t="n"/>
      <c r="K16" s="16" t="n"/>
      <c r="L16" s="16" t="n"/>
      <c r="M16" s="16">
        <f>IF(COUNTA(J16:L16)=3,J16*K16*L16,"")</f>
        <v/>
      </c>
      <c r="N16" s="17" t="n"/>
      <c r="O16" s="17" t="n"/>
      <c r="P16" s="17" t="n"/>
      <c r="Q16" s="17" t="n"/>
      <c r="R16" s="16" t="n"/>
      <c r="S16" s="16" t="n"/>
      <c r="T16" s="16" t="n"/>
      <c r="U16" s="16">
        <f>IF(COUNTA(R16:T16)=3,R16*S16*T16,"")</f>
        <v/>
      </c>
      <c r="V16" s="17" t="n"/>
      <c r="W16" s="16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6" t="n"/>
      <c r="K17" s="16" t="n"/>
      <c r="L17" s="16" t="n"/>
      <c r="M17" s="16">
        <f>IF(COUNTA(J17:L17)=3,J17*K17*L17,"")</f>
        <v/>
      </c>
      <c r="N17" s="17" t="n"/>
      <c r="O17" s="17" t="n"/>
      <c r="P17" s="17" t="n"/>
      <c r="Q17" s="17" t="n"/>
      <c r="R17" s="16" t="n"/>
      <c r="S17" s="16" t="n"/>
      <c r="T17" s="16" t="n"/>
      <c r="U17" s="16">
        <f>IF(COUNTA(R17:T17)=3,R17*S17*T17,"")</f>
        <v/>
      </c>
      <c r="V17" s="17" t="n"/>
      <c r="W17" s="16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6" t="n"/>
      <c r="K18" s="16" t="n"/>
      <c r="L18" s="16" t="n"/>
      <c r="M18" s="16">
        <f>IF(COUNTA(J18:L18)=3,J18*K18*L18,"")</f>
        <v/>
      </c>
      <c r="N18" s="17" t="n"/>
      <c r="O18" s="17" t="n"/>
      <c r="P18" s="17" t="n"/>
      <c r="Q18" s="17" t="n"/>
      <c r="R18" s="16" t="n"/>
      <c r="S18" s="16" t="n"/>
      <c r="T18" s="16" t="n"/>
      <c r="U18" s="16">
        <f>IF(COUNTA(R18:T18)=3,R18*S18*T18,"")</f>
        <v/>
      </c>
      <c r="V18" s="17" t="n"/>
      <c r="W18" s="16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6" t="n"/>
      <c r="K19" s="16" t="n"/>
      <c r="L19" s="16" t="n"/>
      <c r="M19" s="16">
        <f>IF(COUNTA(J19:L19)=3,J19*K19*L19,"")</f>
        <v/>
      </c>
      <c r="N19" s="17" t="n"/>
      <c r="O19" s="17" t="n"/>
      <c r="P19" s="17" t="n"/>
      <c r="Q19" s="17" t="n"/>
      <c r="R19" s="16" t="n"/>
      <c r="S19" s="16" t="n"/>
      <c r="T19" s="16" t="n"/>
      <c r="U19" s="16">
        <f>IF(COUNTA(R19:T19)=3,R19*S19*T19,"")</f>
        <v/>
      </c>
      <c r="V19" s="17" t="n"/>
      <c r="W19" s="16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6" t="n"/>
      <c r="K20" s="16" t="n"/>
      <c r="L20" s="16" t="n"/>
      <c r="M20" s="16">
        <f>IF(COUNTA(J20:L20)=3,J20*K20*L20,"")</f>
        <v/>
      </c>
      <c r="N20" s="17" t="n"/>
      <c r="O20" s="17" t="n"/>
      <c r="P20" s="17" t="n"/>
      <c r="Q20" s="17" t="n"/>
      <c r="R20" s="16" t="n"/>
      <c r="S20" s="16" t="n"/>
      <c r="T20" s="16" t="n"/>
      <c r="U20" s="16">
        <f>IF(COUNTA(R20:T20)=3,R20*S20*T20,"")</f>
        <v/>
      </c>
      <c r="V20" s="17" t="n"/>
      <c r="W20" s="16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6" t="n"/>
      <c r="K21" s="16" t="n"/>
      <c r="L21" s="16" t="n"/>
      <c r="M21" s="16">
        <f>IF(COUNTA(J21:L21)=3,J21*K21*L21,"")</f>
        <v/>
      </c>
      <c r="N21" s="17" t="n"/>
      <c r="O21" s="17" t="n"/>
      <c r="P21" s="17" t="n"/>
      <c r="Q21" s="17" t="n"/>
      <c r="R21" s="16" t="n"/>
      <c r="S21" s="16" t="n"/>
      <c r="T21" s="16" t="n"/>
      <c r="U21" s="16">
        <f>IF(COUNTA(R21:T21)=3,R21*S21*T21,"")</f>
        <v/>
      </c>
      <c r="V21" s="17" t="n"/>
      <c r="W21" s="16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6" t="n"/>
      <c r="K22" s="16" t="n"/>
      <c r="L22" s="16" t="n"/>
      <c r="M22" s="16">
        <f>IF(COUNTA(J22:L22)=3,J22*K22*L22,"")</f>
        <v/>
      </c>
      <c r="N22" s="17" t="n"/>
      <c r="O22" s="17" t="n"/>
      <c r="P22" s="17" t="n"/>
      <c r="Q22" s="17" t="n"/>
      <c r="R22" s="16" t="n"/>
      <c r="S22" s="16" t="n"/>
      <c r="T22" s="16" t="n"/>
      <c r="U22" s="16">
        <f>IF(COUNTA(R22:T22)=3,R22*S22*T22,"")</f>
        <v/>
      </c>
      <c r="V22" s="17" t="n"/>
      <c r="W22" s="16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6" t="n"/>
      <c r="K23" s="16" t="n"/>
      <c r="L23" s="16" t="n"/>
      <c r="M23" s="16">
        <f>IF(COUNTA(J23:L23)=3,J23*K23*L23,"")</f>
        <v/>
      </c>
      <c r="N23" s="17" t="n"/>
      <c r="O23" s="17" t="n"/>
      <c r="P23" s="17" t="n"/>
      <c r="Q23" s="17" t="n"/>
      <c r="R23" s="16" t="n"/>
      <c r="S23" s="16" t="n"/>
      <c r="T23" s="16" t="n"/>
      <c r="U23" s="16">
        <f>IF(COUNTA(R23:T23)=3,R23*S23*T23,"")</f>
        <v/>
      </c>
      <c r="V23" s="17" t="n"/>
      <c r="W23" s="16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6" t="n"/>
      <c r="K24" s="16" t="n"/>
      <c r="L24" s="16" t="n"/>
      <c r="M24" s="16">
        <f>IF(COUNTA(J24:L24)=3,J24*K24*L24,"")</f>
        <v/>
      </c>
      <c r="N24" s="17" t="n"/>
      <c r="O24" s="17" t="n"/>
      <c r="P24" s="17" t="n"/>
      <c r="Q24" s="17" t="n"/>
      <c r="R24" s="16" t="n"/>
      <c r="S24" s="16" t="n"/>
      <c r="T24" s="16" t="n"/>
      <c r="U24" s="16">
        <f>IF(COUNTA(R24:T24)=3,R24*S24*T24,"")</f>
        <v/>
      </c>
      <c r="V24" s="17" t="n"/>
      <c r="W24" s="16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6" t="n"/>
      <c r="K25" s="16" t="n"/>
      <c r="L25" s="16" t="n"/>
      <c r="M25" s="16">
        <f>IF(COUNTA(J25:L25)=3,J25*K25*L25,"")</f>
        <v/>
      </c>
      <c r="N25" s="17" t="n"/>
      <c r="O25" s="17" t="n"/>
      <c r="P25" s="17" t="n"/>
      <c r="Q25" s="17" t="n"/>
      <c r="R25" s="16" t="n"/>
      <c r="S25" s="16" t="n"/>
      <c r="T25" s="16" t="n"/>
      <c r="U25" s="16">
        <f>IF(COUNTA(R25:T25)=3,R25*S25*T25,"")</f>
        <v/>
      </c>
      <c r="V25" s="17" t="n"/>
      <c r="W25" s="16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6" t="n"/>
      <c r="K26" s="16" t="n"/>
      <c r="L26" s="16" t="n"/>
      <c r="M26" s="16">
        <f>IF(COUNTA(J26:L26)=3,J26*K26*L26,"")</f>
        <v/>
      </c>
      <c r="N26" s="17" t="n"/>
      <c r="O26" s="17" t="n"/>
      <c r="P26" s="17" t="n"/>
      <c r="Q26" s="17" t="n"/>
      <c r="R26" s="16" t="n"/>
      <c r="S26" s="16" t="n"/>
      <c r="T26" s="16" t="n"/>
      <c r="U26" s="16">
        <f>IF(COUNTA(R26:T26)=3,R26*S26*T26,"")</f>
        <v/>
      </c>
      <c r="V26" s="17" t="n"/>
      <c r="W26" s="16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6" t="n"/>
      <c r="K27" s="16" t="n"/>
      <c r="L27" s="16" t="n"/>
      <c r="M27" s="16">
        <f>IF(COUNTA(J27:L27)=3,J27*K27*L27,"")</f>
        <v/>
      </c>
      <c r="N27" s="17" t="n"/>
      <c r="O27" s="17" t="n"/>
      <c r="P27" s="17" t="n"/>
      <c r="Q27" s="17" t="n"/>
      <c r="R27" s="16" t="n"/>
      <c r="S27" s="16" t="n"/>
      <c r="T27" s="16" t="n"/>
      <c r="U27" s="16">
        <f>IF(COUNTA(R27:T27)=3,R27*S27*T27,"")</f>
        <v/>
      </c>
      <c r="V27" s="17" t="n"/>
      <c r="W27" s="16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6" t="n"/>
      <c r="K28" s="16" t="n"/>
      <c r="L28" s="16" t="n"/>
      <c r="M28" s="16">
        <f>IF(COUNTA(J28:L28)=3,J28*K28*L28,"")</f>
        <v/>
      </c>
      <c r="N28" s="17" t="n"/>
      <c r="O28" s="17" t="n"/>
      <c r="P28" s="17" t="n"/>
      <c r="Q28" s="17" t="n"/>
      <c r="R28" s="16" t="n"/>
      <c r="S28" s="16" t="n"/>
      <c r="T28" s="16" t="n"/>
      <c r="U28" s="16">
        <f>IF(COUNTA(R28:T28)=3,R28*S28*T28,"")</f>
        <v/>
      </c>
      <c r="V28" s="17" t="n"/>
      <c r="W28" s="16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6" t="n"/>
      <c r="K29" s="16" t="n"/>
      <c r="L29" s="16" t="n"/>
      <c r="M29" s="16">
        <f>IF(COUNTA(J29:L29)=3,J29*K29*L29,"")</f>
        <v/>
      </c>
      <c r="N29" s="17" t="n"/>
      <c r="O29" s="17" t="n"/>
      <c r="P29" s="17" t="n"/>
      <c r="Q29" s="17" t="n"/>
      <c r="R29" s="16" t="n"/>
      <c r="S29" s="16" t="n"/>
      <c r="T29" s="16" t="n"/>
      <c r="U29" s="16">
        <f>IF(COUNTA(R29:T29)=3,R29*S29*T29,"")</f>
        <v/>
      </c>
      <c r="V29" s="17" t="n"/>
      <c r="W29" s="16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6" t="n"/>
      <c r="K30" s="16" t="n"/>
      <c r="L30" s="16" t="n"/>
      <c r="M30" s="16">
        <f>IF(COUNTA(J30:L30)=3,J30*K30*L30,"")</f>
        <v/>
      </c>
      <c r="N30" s="17" t="n"/>
      <c r="O30" s="17" t="n"/>
      <c r="P30" s="17" t="n"/>
      <c r="Q30" s="17" t="n"/>
      <c r="R30" s="16" t="n"/>
      <c r="S30" s="16" t="n"/>
      <c r="T30" s="16" t="n"/>
      <c r="U30" s="16">
        <f>IF(COUNTA(R30:T30)=3,R30*S30*T30,"")</f>
        <v/>
      </c>
      <c r="V30" s="17" t="n"/>
      <c r="W30" s="16" t="n"/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6" t="n"/>
      <c r="K31" s="16" t="n"/>
      <c r="L31" s="16" t="n"/>
      <c r="M31" s="16">
        <f>IF(COUNTA(J31:L31)=3,J31*K31*L31,"")</f>
        <v/>
      </c>
      <c r="N31" s="17" t="n"/>
      <c r="O31" s="17" t="n"/>
      <c r="P31" s="17" t="n"/>
      <c r="Q31" s="17" t="n"/>
      <c r="R31" s="16" t="n"/>
      <c r="S31" s="16" t="n"/>
      <c r="T31" s="16" t="n"/>
      <c r="U31" s="16">
        <f>IF(COUNTA(R31:T31)=3,R31*S31*T31,"")</f>
        <v/>
      </c>
      <c r="V31" s="17" t="n"/>
      <c r="W31" s="16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6" t="n"/>
      <c r="K32" s="16" t="n"/>
      <c r="L32" s="16" t="n"/>
      <c r="M32" s="16">
        <f>IF(COUNTA(J32:L32)=3,J32*K32*L32,"")</f>
        <v/>
      </c>
      <c r="N32" s="17" t="n"/>
      <c r="O32" s="17" t="n"/>
      <c r="P32" s="17" t="n"/>
      <c r="Q32" s="17" t="n"/>
      <c r="R32" s="16" t="n"/>
      <c r="S32" s="16" t="n"/>
      <c r="T32" s="16" t="n"/>
      <c r="U32" s="16">
        <f>IF(COUNTA(R32:T32)=3,R32*S32*T32,"")</f>
        <v/>
      </c>
      <c r="V32" s="17" t="n"/>
      <c r="W32" s="16" t="n"/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6" t="n"/>
      <c r="K33" s="16" t="n"/>
      <c r="L33" s="16" t="n"/>
      <c r="M33" s="16">
        <f>IF(COUNTA(J33:L33)=3,J33*K33*L33,"")</f>
        <v/>
      </c>
      <c r="N33" s="17" t="n"/>
      <c r="O33" s="17" t="n"/>
      <c r="P33" s="17" t="n"/>
      <c r="Q33" s="17" t="n"/>
      <c r="R33" s="16" t="n"/>
      <c r="S33" s="16" t="n"/>
      <c r="T33" s="16" t="n"/>
      <c r="U33" s="16">
        <f>IF(COUNTA(R33:T33)=3,R33*S33*T33,"")</f>
        <v/>
      </c>
      <c r="V33" s="17" t="n"/>
      <c r="W33" s="16" t="n"/>
    </row>
    <row r="34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6" t="n"/>
      <c r="K34" s="16" t="n"/>
      <c r="L34" s="16" t="n"/>
      <c r="M34" s="16">
        <f>IF(COUNTA(J34:L34)=3,J34*K34*L34,"")</f>
        <v/>
      </c>
      <c r="N34" s="17" t="n"/>
      <c r="O34" s="17" t="n"/>
      <c r="P34" s="17" t="n"/>
      <c r="Q34" s="17" t="n"/>
      <c r="R34" s="16" t="n"/>
      <c r="S34" s="16" t="n"/>
      <c r="T34" s="16" t="n"/>
      <c r="U34" s="16">
        <f>IF(COUNTA(R34:T34)=3,R34*S34*T34,"")</f>
        <v/>
      </c>
      <c r="V34" s="17" t="n"/>
      <c r="W34" s="16" t="n"/>
    </row>
    <row r="35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6" t="n"/>
      <c r="K35" s="16" t="n"/>
      <c r="L35" s="16" t="n"/>
      <c r="M35" s="16">
        <f>IF(COUNTA(J35:L35)=3,J35*K35*L35,"")</f>
        <v/>
      </c>
      <c r="N35" s="17" t="n"/>
      <c r="O35" s="17" t="n"/>
      <c r="P35" s="17" t="n"/>
      <c r="Q35" s="17" t="n"/>
      <c r="R35" s="16" t="n"/>
      <c r="S35" s="16" t="n"/>
      <c r="T35" s="16" t="n"/>
      <c r="U35" s="16">
        <f>IF(COUNTA(R35:T35)=3,R35*S35*T35,"")</f>
        <v/>
      </c>
      <c r="V35" s="17" t="n"/>
      <c r="W35" s="16" t="n"/>
    </row>
    <row r="36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6" t="n"/>
      <c r="K36" s="16" t="n"/>
      <c r="L36" s="16" t="n"/>
      <c r="M36" s="16">
        <f>IF(COUNTA(J36:L36)=3,J36*K36*L36,"")</f>
        <v/>
      </c>
      <c r="N36" s="17" t="n"/>
      <c r="O36" s="17" t="n"/>
      <c r="P36" s="17" t="n"/>
      <c r="Q36" s="17" t="n"/>
      <c r="R36" s="16" t="n"/>
      <c r="S36" s="16" t="n"/>
      <c r="T36" s="16" t="n"/>
      <c r="U36" s="16">
        <f>IF(COUNTA(R36:T36)=3,R36*S36*T36,"")</f>
        <v/>
      </c>
      <c r="V36" s="17" t="n"/>
      <c r="W36" s="16" t="n"/>
    </row>
    <row r="37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6" t="n"/>
      <c r="K37" s="16" t="n"/>
      <c r="L37" s="16" t="n"/>
      <c r="M37" s="16">
        <f>IF(COUNTA(J37:L37)=3,J37*K37*L37,"")</f>
        <v/>
      </c>
      <c r="N37" s="17" t="n"/>
      <c r="O37" s="17" t="n"/>
      <c r="P37" s="17" t="n"/>
      <c r="Q37" s="17" t="n"/>
      <c r="R37" s="16" t="n"/>
      <c r="S37" s="16" t="n"/>
      <c r="T37" s="16" t="n"/>
      <c r="U37" s="16">
        <f>IF(COUNTA(R37:T37)=3,R37*S37*T37,"")</f>
        <v/>
      </c>
      <c r="V37" s="17" t="n"/>
      <c r="W37" s="16" t="n"/>
    </row>
    <row r="38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6" t="n"/>
      <c r="K38" s="16" t="n"/>
      <c r="L38" s="16" t="n"/>
      <c r="M38" s="16">
        <f>IF(COUNTA(J38:L38)=3,J38*K38*L38,"")</f>
        <v/>
      </c>
      <c r="N38" s="17" t="n"/>
      <c r="O38" s="17" t="n"/>
      <c r="P38" s="17" t="n"/>
      <c r="Q38" s="17" t="n"/>
      <c r="R38" s="16" t="n"/>
      <c r="S38" s="16" t="n"/>
      <c r="T38" s="16" t="n"/>
      <c r="U38" s="16">
        <f>IF(COUNTA(R38:T38)=3,R38*S38*T38,"")</f>
        <v/>
      </c>
      <c r="V38" s="17" t="n"/>
      <c r="W38" s="16" t="n"/>
    </row>
    <row r="39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6" t="n"/>
      <c r="K39" s="16" t="n"/>
      <c r="L39" s="16" t="n"/>
      <c r="M39" s="16">
        <f>IF(COUNTA(J39:L39)=3,J39*K39*L39,"")</f>
        <v/>
      </c>
      <c r="N39" s="17" t="n"/>
      <c r="O39" s="17" t="n"/>
      <c r="P39" s="17" t="n"/>
      <c r="Q39" s="17" t="n"/>
      <c r="R39" s="16" t="n"/>
      <c r="S39" s="16" t="n"/>
      <c r="T39" s="16" t="n"/>
      <c r="U39" s="16">
        <f>IF(COUNTA(R39:T39)=3,R39*S39*T39,"")</f>
        <v/>
      </c>
      <c r="V39" s="17" t="n"/>
      <c r="W39" s="16" t="n"/>
    </row>
    <row r="40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6" t="n"/>
      <c r="K40" s="16" t="n"/>
      <c r="L40" s="16" t="n"/>
      <c r="M40" s="16">
        <f>IF(COUNTA(J40:L40)=3,J40*K40*L40,"")</f>
        <v/>
      </c>
      <c r="N40" s="17" t="n"/>
      <c r="O40" s="17" t="n"/>
      <c r="P40" s="17" t="n"/>
      <c r="Q40" s="17" t="n"/>
      <c r="R40" s="16" t="n"/>
      <c r="S40" s="16" t="n"/>
      <c r="T40" s="16" t="n"/>
      <c r="U40" s="16">
        <f>IF(COUNTA(R40:T40)=3,R40*S40*T40,"")</f>
        <v/>
      </c>
      <c r="V40" s="17" t="n"/>
      <c r="W40" s="16" t="n"/>
    </row>
    <row r="42">
      <c r="A42" s="18" t="inlineStr">
        <is>
          <t>Legende RPZ:</t>
        </is>
      </c>
      <c r="B42" s="19" t="inlineStr">
        <is>
          <t>&lt; 50</t>
        </is>
      </c>
      <c r="C42" s="20" t="inlineStr">
        <is>
          <t>niedrig</t>
        </is>
      </c>
      <c r="D42" s="21" t="inlineStr">
        <is>
          <t>50–125</t>
        </is>
      </c>
      <c r="E42" s="20" t="inlineStr">
        <is>
          <t>mittel — Maßnahmen prüfen</t>
        </is>
      </c>
      <c r="G42" s="22" t="inlineStr">
        <is>
          <t>&gt; 125</t>
        </is>
      </c>
      <c r="H42" s="20" t="inlineStr">
        <is>
          <t>hoch — Maßnahmen erforderlich</t>
        </is>
      </c>
    </row>
    <row r="43">
      <c r="A43" s="23" t="inlineStr">
        <is>
          <t>Hinweis: Bei B = 9–10 (existenzielle Schäden) immer Maßnahmen prüfen, auch bei niedriger RPZ. Vgl. Tag 9 Block 3.</t>
        </is>
      </c>
    </row>
  </sheetData>
  <mergeCells count="11">
    <mergeCell ref="O5:Q5"/>
    <mergeCell ref="A1:W1"/>
    <mergeCell ref="J3:N3"/>
    <mergeCell ref="J5:N5"/>
    <mergeCell ref="P3:S3"/>
    <mergeCell ref="E42:F42"/>
    <mergeCell ref="A5:E5"/>
    <mergeCell ref="A43:J43"/>
    <mergeCell ref="F5:I5"/>
    <mergeCell ref="B3:H3"/>
    <mergeCell ref="R5:V5"/>
  </mergeCells>
  <conditionalFormatting sqref="M7:M40">
    <cfRule type="cellIs" priority="2" operator="lessThan" dxfId="2">
      <formula>50</formula>
    </cfRule>
    <cfRule type="cellIs" priority="3" operator="between" dxfId="1">
      <formula>50</formula>
      <formula>125</formula>
    </cfRule>
    <cfRule type="cellIs" priority="4" operator="greaterThan" dxfId="0">
      <formula>125</formula>
    </cfRule>
  </conditionalFormatting>
  <conditionalFormatting sqref="U7:U40">
    <cfRule type="cellIs" priority="5" operator="lessThan" dxfId="2">
      <formula>50</formula>
    </cfRule>
    <cfRule type="cellIs" priority="6" operator="between" dxfId="1">
      <formula>50</formula>
      <formula>125</formula>
    </cfRule>
    <cfRule type="cellIs" priority="7" operator="greaterThan" dxfId="0">
      <formula>125</formula>
    </cfRule>
  </conditionalFormatting>
  <dataValidations count="2">
    <dataValidation sqref="J7:L40 R7:T40" showDropDown="0" showInputMessage="0" showErrorMessage="0" allowBlank="1" errorTitle="Ungültige Bewertung" error="Bitte ganze Zahl 1–10 eingeben (siehe Tab A-B-E-Skala)." type="whole">
      <formula1>1</formula1>
      <formula2>10</formula2>
    </dataValidation>
    <dataValidation sqref="W7:W40" showDropDown="0" showInputMessage="0" showErrorMessage="0" allowBlank="1" type="list">
      <formula1>"Ja,Nein,Teilweise,Prüfung läuft"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zoomScaleNormal="100" workbookViewId="0">
      <selection activeCell="A1" sqref="A1:D1"/>
    </sheetView>
  </sheetViews>
  <sheetFormatPr baseColWidth="8" defaultColWidth="8.6640625" defaultRowHeight="14.4"/>
  <cols>
    <col width="10" customWidth="1" min="1" max="1"/>
    <col width="50" customWidth="1" min="2" max="3"/>
    <col width="55" customWidth="1" min="4" max="4"/>
  </cols>
  <sheetData>
    <row r="1" ht="17.4" customHeight="1">
      <c r="A1" s="6" t="inlineStr">
        <is>
          <t>A-B-E-Bewertungsskala (KI-spezifisch)</t>
        </is>
      </c>
    </row>
    <row r="2">
      <c r="A2" s="23" t="inlineStr">
        <is>
          <t>Quelle: VOREST-FMEA-Vorlage 2025 (Risikoanalyse_und_FMEA.xlsx) — KI-spezifische Skalen-Anker.</t>
        </is>
      </c>
    </row>
    <row r="4" ht="26.4" customHeight="1">
      <c r="A4" s="15" t="inlineStr">
        <is>
          <t>Bewertung</t>
        </is>
      </c>
      <c r="B4" s="15" t="inlineStr">
        <is>
          <t>A · Auftreten (Occurrence)</t>
        </is>
      </c>
      <c r="C4" s="15" t="inlineStr">
        <is>
          <t>B · Bedeutung (Severity)</t>
        </is>
      </c>
      <c r="D4" s="15" t="inlineStr">
        <is>
          <t>E · Entdeckung (Detection)</t>
        </is>
      </c>
    </row>
    <row r="5" ht="64.5" customHeight="1">
      <c r="A5" s="24" t="n">
        <v>10</v>
      </c>
      <c r="B5" s="17" t="inlineStr">
        <is>
          <t>Fast immer: tritt bei (nahezu) jedem Durchlauf auf; "Das passiert praktisch ständig / ist im Design angelegt."</t>
        </is>
      </c>
      <c r="C5" s="17" t="inlineStr">
        <is>
          <t>Systematische Diskriminierung großer Gruppen; schwerwiegende Sicherheitsgefährdung; massive Grundrechtsverletzung; existenzbedrohend.</t>
        </is>
      </c>
      <c r="D5" s="17" t="inlineStr">
        <is>
          <t>Nicht erkennbar: keine Logs/Monitoring/Kontrollen; Fehler wird nur zufällig bemerkt (z. B. erst durch öffentliche Beschwerden).</t>
        </is>
      </c>
    </row>
    <row r="6" ht="64.5" customHeight="1">
      <c r="A6" s="24" t="n">
        <v>9</v>
      </c>
      <c r="B6" s="17" t="inlineStr">
        <is>
          <t>Sehr oft täglich: mehrfach pro Tag oder in vielen Fällen; "Wir sehen das ständig in der Praxis."</t>
        </is>
      </c>
      <c r="C6" s="17" t="inlineStr">
        <is>
          <t>Wiederholte schwerwiegende Benachteiligung/Fehlentscheidungen; gravierende Grundrechtsbeeinträchtigung; behördliche Sanktionen wahrscheinlich.</t>
        </is>
      </c>
      <c r="D6" s="17" t="inlineStr">
        <is>
          <t>Nahezu nicht erkennbar: keine Warnsignale; Fehler wirkt plausibel; wird höchstens bei Audit/Root-Cause-Analyse entdeckt.</t>
        </is>
      </c>
    </row>
    <row r="7" ht="64.5" customHeight="1">
      <c r="A7" s="24" t="n">
        <v>8</v>
      </c>
      <c r="B7" s="17" t="inlineStr">
        <is>
          <t>Täglich: mindestens 1× pro Tag; "Jeden Tag kommt das vor."</t>
        </is>
      </c>
      <c r="C7" s="17" t="inlineStr">
        <is>
          <t>Diskriminierende Entscheidung im Einzelfall mit spürbaren Folgen; gefährliche Empfehlung; erhebliche rechtliche Risiken.</t>
        </is>
      </c>
      <c r="D7" s="17" t="inlineStr">
        <is>
          <t>Sehr schwer erkennbar: nur seltene Indikatoren; keine systematische Qualitätsmessung; Erkennung meist durch Beschwerden.</t>
        </is>
      </c>
    </row>
    <row r="8" ht="64.5" customHeight="1">
      <c r="A8" s="25" t="n">
        <v>7</v>
      </c>
      <c r="B8" s="17" t="inlineStr">
        <is>
          <t>Sehr häufig: mehrmals pro Woche; "Kommt ständig wieder — fast jede Woche mehrfach."</t>
        </is>
      </c>
      <c r="C8" s="17" t="inlineStr">
        <is>
          <t>Mehrere falsche Ablehnungen/Einstufungen; unfaire Behandlung wiederholt sichtbar.</t>
        </is>
      </c>
      <c r="D8" s="17" t="inlineStr">
        <is>
          <t>Selten erkannt: wird meist nur durch Nutzerbeschwerden oder Zufall entdeckt; keine festen Stichprobenpläne.</t>
        </is>
      </c>
    </row>
    <row r="9" ht="64.5" customHeight="1">
      <c r="A9" s="25" t="n">
        <v>6</v>
      </c>
      <c r="B9" s="17" t="inlineStr">
        <is>
          <t>Häufig: ca. 1× pro Woche; "Fast jede Woche mindestens einmal."</t>
        </is>
      </c>
      <c r="C9" s="17" t="inlineStr">
        <is>
          <t>Falsche Empfehlung/Entscheidung, Einspruch nötig; deutliche Benachteiligung möglich.</t>
        </is>
      </c>
      <c r="D9" s="17" t="inlineStr">
        <is>
          <t>Eher spät erkannt: Erkennung typischerweise nach Nutzung (z. B. Support-Ticket, Nacharbeit im Prozess).</t>
        </is>
      </c>
    </row>
    <row r="10" ht="64.5" customHeight="1">
      <c r="A10" s="25" t="n">
        <v>5</v>
      </c>
      <c r="B10" s="17" t="inlineStr">
        <is>
          <t>Regelmäßig: 2–3× pro Monat; "Kommt mehrfach pro Monat vor."</t>
        </is>
      </c>
      <c r="C10" s="17" t="inlineStr">
        <is>
          <t>Beschwerden; systematisch falsche Infos, aber ohne schwere Konsequenzen.</t>
        </is>
      </c>
      <c r="D10" s="17" t="inlineStr">
        <is>
          <t>50/50 erkennbar: teilweise Kontrollen; z. B. manuelle Prüfung nur in einzelnen Fällen oder nur in bestimmten Schritten.</t>
        </is>
      </c>
    </row>
    <row r="11" ht="64.5" customHeight="1">
      <c r="A11" s="26" t="n">
        <v>4</v>
      </c>
      <c r="B11" s="17" t="inlineStr">
        <is>
          <t>Gelegentlich: ca. 1× pro Monat; "Kommt ab und zu vor."</t>
        </is>
      </c>
      <c r="C11" s="17" t="inlineStr">
        <is>
          <t>Fehlberatung mit zusätzlichem Aufwand / Verzögerung.</t>
        </is>
      </c>
      <c r="D11" s="17" t="inlineStr">
        <is>
          <t>Meist erkannt: regelmäßige Reviews/Stichproben + brauchbare Logs; Alerts existieren, aber nicht zuverlässig.</t>
        </is>
      </c>
    </row>
    <row r="12" ht="64.5" customHeight="1">
      <c r="A12" s="26" t="n">
        <v>3</v>
      </c>
      <c r="B12" s="17" t="inlineStr">
        <is>
          <t>Selten: ca. 1× pro Quartal (alle 3–6 Monate); "Nur gelegentlich — nicht regelmäßig."</t>
        </is>
      </c>
      <c r="C12" s="17" t="inlineStr">
        <is>
          <t>Einzelne falsche Antwort, schnell richtigstellbar.</t>
        </is>
      </c>
      <c r="D12" s="17" t="inlineStr">
        <is>
          <t>Sehr wahrscheinlich erkannt: definierte Quality Gates + strukturierte Stichproben + klare Alerts.</t>
        </is>
      </c>
    </row>
    <row r="13" ht="64.5" customHeight="1">
      <c r="A13" s="26" t="n">
        <v>2</v>
      </c>
      <c r="B13" s="17" t="inlineStr">
        <is>
          <t>Sehr selten: ca. 1× pro Halbjahr/Jahr (6–12 Monate); "Fast nie — aber möglich."</t>
        </is>
      </c>
      <c r="C13" s="17" t="inlineStr">
        <is>
          <t>Nutzer muss nachfragen, minimale Verzögerung.</t>
        </is>
      </c>
      <c r="D13" s="17" t="inlineStr">
        <is>
          <t>Fast immer erkannt: automatisches Monitoring + Alerts + definierter Prozess zur Sperre/Quarantäne.</t>
        </is>
      </c>
    </row>
    <row r="14" ht="64.5" customHeight="1">
      <c r="A14" s="26" t="n">
        <v>1</v>
      </c>
      <c r="B14" s="17" t="inlineStr">
        <is>
          <t>Praktisch nie: ≤ 1× pro Jahr oder bisher nicht beobachtet; "Nur theoretisch / extrem unwahrscheinlich."</t>
        </is>
      </c>
      <c r="C14" s="17" t="inlineStr">
        <is>
          <t>Rein kosmetisch/Formatfehler.</t>
        </is>
      </c>
      <c r="D14" s="17" t="inlineStr">
        <is>
          <t>Immer automatisch erkannt oder verhindert: harte Kontrollen verhindern Ausgabe (z. B. Input-Validierung).</t>
        </is>
      </c>
    </row>
    <row r="17" ht="30" customHeight="1">
      <c r="A17" s="1" t="inlineStr">
        <is>
          <t>RPZ = A × B × E. Wertebereich 1–1000. Faustregel: &lt; 50 niedrig, 50–125 mittel, &gt; 125 hoch. Bei B ≥ 9 unabhängig von RPZ immer Maßnahmen prüfen.</t>
        </is>
      </c>
    </row>
  </sheetData>
  <mergeCells count="3">
    <mergeCell ref="A1:D1"/>
    <mergeCell ref="A17:D17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2" customWidth="1" min="1" max="1"/>
    <col width="26" customWidth="1" min="2" max="2"/>
    <col width="32" customWidth="1" min="3" max="3"/>
  </cols>
  <sheetData>
    <row r="1" ht="15.6" customHeight="1">
      <c r="A1" s="9" t="inlineStr">
        <is>
          <t>Hilfssheet — Dropdown-Listen für Risikoregister</t>
        </is>
      </c>
    </row>
    <row r="2">
      <c r="A2" s="23" t="inlineStr">
        <is>
          <t>Werte hier ändern, um Dropdowns zentral anzupassen. Spalten dürfen nicht umsortiert werden.</t>
        </is>
      </c>
    </row>
    <row r="4">
      <c r="A4" s="27" t="inlineStr">
        <is>
          <t>Risikoart</t>
        </is>
      </c>
      <c r="B4" s="27" t="inlineStr">
        <is>
          <t>Risikokategorie (Beispiele)</t>
        </is>
      </c>
      <c r="C4" s="27" t="inlineStr">
        <is>
          <t>Lebenszyklus-Phase</t>
        </is>
      </c>
    </row>
    <row r="5">
      <c r="C5" s="13" t="inlineStr">
        <is>
          <t>Beschaffung / Konzept</t>
        </is>
      </c>
    </row>
    <row r="6">
      <c r="A6" s="13" t="inlineStr">
        <is>
          <t>Bias</t>
        </is>
      </c>
      <c r="B6" s="13" t="inlineStr">
        <is>
          <t>Daten-Bias</t>
        </is>
      </c>
      <c r="C6" s="13" t="inlineStr">
        <is>
          <t>Datenaufbereitung / Training</t>
        </is>
      </c>
    </row>
    <row r="7">
      <c r="A7" s="13" t="inlineStr">
        <is>
          <t>Technische Fehler</t>
        </is>
      </c>
      <c r="B7" s="13" t="inlineStr">
        <is>
          <t>Modell-Bias</t>
        </is>
      </c>
      <c r="C7" s="13" t="inlineStr">
        <is>
          <t>Modellentwicklung</t>
        </is>
      </c>
    </row>
    <row r="8">
      <c r="A8" s="13" t="inlineStr">
        <is>
          <t>Ethische Risiken</t>
        </is>
      </c>
      <c r="B8" s="13" t="inlineStr">
        <is>
          <t>Anwendungs-Bias</t>
        </is>
      </c>
      <c r="C8" s="13" t="inlineStr">
        <is>
          <t>Pilotierung / Deployment</t>
        </is>
      </c>
    </row>
    <row r="9">
      <c r="A9" s="13" t="inlineStr">
        <is>
          <t>Sicherheitsrisiken</t>
        </is>
      </c>
      <c r="B9" s="13" t="inlineStr">
        <is>
          <t>Modell-Drift</t>
        </is>
      </c>
      <c r="C9" s="13" t="inlineStr">
        <is>
          <t>Betrieb &amp; Überwachung</t>
        </is>
      </c>
    </row>
    <row r="10">
      <c r="B10" s="13" t="inlineStr">
        <is>
          <t>Daten-Drift</t>
        </is>
      </c>
      <c r="C10" s="13" t="inlineStr">
        <is>
          <t>Verbesserung / Weiterentwicklung</t>
        </is>
      </c>
    </row>
    <row r="11">
      <c r="B11" s="13" t="inlineStr">
        <is>
          <t>Out-of-Distribution</t>
        </is>
      </c>
      <c r="C11" s="13" t="inlineStr">
        <is>
          <t>Stilllegung</t>
        </is>
      </c>
    </row>
    <row r="12">
      <c r="B12" s="13" t="inlineStr">
        <is>
          <t>Halluzinationen</t>
        </is>
      </c>
    </row>
    <row r="13">
      <c r="B13" s="13" t="inlineStr">
        <is>
          <t>Hardware-Probleme</t>
        </is>
      </c>
    </row>
    <row r="14">
      <c r="B14" s="13" t="inlineStr">
        <is>
          <t>Automation Bias</t>
        </is>
      </c>
    </row>
    <row r="15">
      <c r="B15" s="13" t="inlineStr">
        <is>
          <t>Verlust Berufsidentität</t>
        </is>
      </c>
    </row>
    <row r="16">
      <c r="B16" s="13" t="inlineStr">
        <is>
          <t>Fehlende Erklärbarkeit</t>
        </is>
      </c>
    </row>
    <row r="17">
      <c r="B17" s="13" t="inlineStr">
        <is>
          <t>Verlust von Autonomie</t>
        </is>
      </c>
    </row>
    <row r="18">
      <c r="B18" s="13" t="inlineStr">
        <is>
          <t>Adversarial Attacks</t>
        </is>
      </c>
    </row>
    <row r="19">
      <c r="B19" s="13" t="inlineStr">
        <is>
          <t>Data Poisoning</t>
        </is>
      </c>
    </row>
    <row r="20">
      <c r="B20" s="13" t="inlineStr">
        <is>
          <t>Supply Chain</t>
        </is>
      </c>
    </row>
    <row r="21">
      <c r="B21" s="13" t="inlineStr">
        <is>
          <t>Prompt Injection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2026-05-01T12:19:47Z</dcterms:created>
  <dcterms:modified xmlns:dcterms="http://purl.org/dc/terms/" xmlns:xsi="http://www.w3.org/2001/XMLSchema-instance" xsi:type="dcterms:W3CDTF">2026-05-25T05:27:08Z</dcterms:modified>
  <cp:lastModifiedBy>Ulrich Nord</cp:lastModifiedBy>
  <cp:revision>0</cp:revision>
</cp:coreProperties>
</file>